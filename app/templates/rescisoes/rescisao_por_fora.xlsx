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245" documentId="11_49913F27D0AA099E645C38A5F3D1838CC520E09F" xr6:coauthVersionLast="47" xr6:coauthVersionMax="47" xr10:uidLastSave="{66ADD3F9-92A6-4D8C-84A6-9929C4713FD5}"/>
  <bookViews>
    <workbookView xWindow="0" yWindow="0" windowWidth="16384" windowHeight="8192" tabRatio="500" firstSheet="8" activeTab="8" xr2:uid="{00000000-000D-0000-FFFF-FFFF00000000}"/>
  </bookViews>
  <sheets>
    <sheet name="KARLA" sheetId="1" state="hidden" r:id="rId1"/>
    <sheet name="STYLE LOCAÇÃO (2)" sheetId="2" state="hidden" r:id="rId2"/>
    <sheet name="JM CLINICAS" sheetId="3" state="hidden" r:id="rId3"/>
    <sheet name="LS PESSOA" sheetId="4" state="hidden" r:id="rId4"/>
    <sheet name="WS SERV (2)" sheetId="5" state="hidden" r:id="rId5"/>
    <sheet name="SALGUEIRO MED" sheetId="6" state="hidden" r:id="rId6"/>
    <sheet name="L&amp;V SERVIÇOS" sheetId="7" state="hidden" r:id="rId7"/>
    <sheet name="C &amp; J SERRV ADM" sheetId="8" state="hidden" r:id="rId8"/>
    <sheet name="SMA ADM (2)" sheetId="27" r:id="rId9"/>
    <sheet name="SMA ADM" sheetId="9" state="hidden" r:id="rId10"/>
    <sheet name="Cristiane" sheetId="10" state="hidden" r:id="rId11"/>
    <sheet name="EMERSON" sheetId="11" state="hidden" r:id="rId12"/>
    <sheet name="BRENA" sheetId="12" state="hidden" r:id="rId13"/>
    <sheet name="joao carlos barbosa" sheetId="13" state="hidden" r:id="rId14"/>
    <sheet name="CICERO" sheetId="14" state="hidden" r:id="rId15"/>
    <sheet name="NATALINO" sheetId="15" state="hidden" r:id="rId16"/>
    <sheet name="hellen" sheetId="16" state="hidden" r:id="rId17"/>
    <sheet name="raimunda" sheetId="17" state="hidden" r:id="rId18"/>
    <sheet name="josineide" sheetId="18" state="hidden" r:id="rId19"/>
    <sheet name="xará acerto 02" sheetId="19" state="hidden" r:id="rId20"/>
    <sheet name="XARÁ acerto geral" sheetId="20" state="hidden" r:id="rId21"/>
    <sheet name="XARÁ acerto 01 (2)" sheetId="21" state="hidden" r:id="rId22"/>
    <sheet name="XARÁ acerto 01" sheetId="22" state="hidden" r:id="rId23"/>
    <sheet name="acerto dannifher" sheetId="23" state="hidden" r:id="rId24"/>
    <sheet name="xará acerto 03" sheetId="24" state="hidden" r:id="rId25"/>
    <sheet name="CDA" sheetId="25" state="hidden" r:id="rId26"/>
    <sheet name="SUELENE" sheetId="26" state="hidden" r:id="rId27"/>
  </sheets>
  <definedNames>
    <definedName name="_xlnm.Print_Area" localSheetId="23">'acerto dannifher'!$A$1:$J$74</definedName>
    <definedName name="_xlnm.Print_Area" localSheetId="12">BRENA!$A$1:$J$74</definedName>
    <definedName name="_xlnm.Print_Area" localSheetId="7">'C &amp; J SERRV ADM'!$A$1:$J$74</definedName>
    <definedName name="_xlnm.Print_Area" localSheetId="25">CDA!$A$1:$J$74</definedName>
    <definedName name="_xlnm.Print_Area" localSheetId="14">CICERO!$A$1:$J$74</definedName>
    <definedName name="_xlnm.Print_Area" localSheetId="10">Cristiane!$A$1:$J$74</definedName>
    <definedName name="_xlnm.Print_Area" localSheetId="11">EMERSON!$A$1:$J$74</definedName>
    <definedName name="_xlnm.Print_Area" localSheetId="16">hellen!$A$1:$J$74</definedName>
    <definedName name="_xlnm.Print_Area" localSheetId="2">'JM CLINICAS'!$A$1:$J$74</definedName>
    <definedName name="_xlnm.Print_Area" localSheetId="13">'joao carlos barbosa'!$A$1:$J$74</definedName>
    <definedName name="_xlnm.Print_Area" localSheetId="18">josineide!$A$1:$J$74</definedName>
    <definedName name="_xlnm.Print_Area" localSheetId="0">KARLA!$A$1:$J$74</definedName>
    <definedName name="_xlnm.Print_Area" localSheetId="6">'L&amp;V SERVIÇOS'!$A$1:$J$74</definedName>
    <definedName name="_xlnm.Print_Area" localSheetId="3">'LS PESSOA'!$A$1:$J$74</definedName>
    <definedName name="_xlnm.Print_Area" localSheetId="15">NATALINO!$A$1:$J$74</definedName>
    <definedName name="_xlnm.Print_Area" localSheetId="17">raimunda!$A$1:$J$74</definedName>
    <definedName name="_xlnm.Print_Area" localSheetId="5">'SALGUEIRO MED'!$A$1:$J$74</definedName>
    <definedName name="_xlnm.Print_Area" localSheetId="9">'SMA ADM'!$A$1:$J$74</definedName>
    <definedName name="_xlnm.Print_Area" localSheetId="8">'SMA ADM (2)'!$A$1:$J$74</definedName>
    <definedName name="_xlnm.Print_Area" localSheetId="1">'STYLE LOCAÇÃO (2)'!$A$1:$J$74</definedName>
    <definedName name="_xlnm.Print_Area" localSheetId="26">SUELENE!$A$1:$J$74</definedName>
    <definedName name="_xlnm.Print_Area" localSheetId="4">'WS SERV (2)'!$A$1:$J$74</definedName>
    <definedName name="_xlnm.Print_Area" localSheetId="22">'XARÁ acerto 01'!$A$1:$J$74</definedName>
    <definedName name="_xlnm.Print_Area" localSheetId="21">'XARÁ acerto 01 (2)'!$A$1:$J$74</definedName>
    <definedName name="_xlnm.Print_Area" localSheetId="19">'xará acerto 02'!$A$1:$J$74</definedName>
    <definedName name="_xlnm.Print_Area" localSheetId="24">'xará acerto 03'!$A$1:$J$74</definedName>
    <definedName name="_xlnm.Print_Area" localSheetId="20">'XARÁ acerto geral'!$A$1:$J$74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1" i="27" l="1"/>
  <c r="D51" i="27"/>
  <c r="F44" i="27"/>
  <c r="D39" i="27"/>
  <c r="G37" i="27"/>
  <c r="D51" i="7"/>
  <c r="D39" i="9"/>
  <c r="D51" i="9"/>
  <c r="J51" i="26"/>
  <c r="D47" i="26"/>
  <c r="D45" i="26"/>
  <c r="D41" i="26"/>
  <c r="F23" i="26"/>
  <c r="E23" i="26"/>
  <c r="J51" i="25"/>
  <c r="D47" i="25"/>
  <c r="D49" i="25" s="1"/>
  <c r="D45" i="25"/>
  <c r="D41" i="25"/>
  <c r="J51" i="24"/>
  <c r="D47" i="24"/>
  <c r="D49" i="24" s="1"/>
  <c r="D45" i="24"/>
  <c r="D41" i="24"/>
  <c r="J51" i="23"/>
  <c r="D47" i="23"/>
  <c r="D49" i="23" s="1"/>
  <c r="D45" i="23"/>
  <c r="D41" i="23"/>
  <c r="D47" i="22"/>
  <c r="D45" i="22"/>
  <c r="F44" i="22"/>
  <c r="D49" i="21"/>
  <c r="G53" i="21" s="1"/>
  <c r="D45" i="21"/>
  <c r="D54" i="21" s="1"/>
  <c r="F44" i="21"/>
  <c r="D47" i="20"/>
  <c r="D49" i="20" s="1"/>
  <c r="D41" i="20"/>
  <c r="D47" i="19"/>
  <c r="D49" i="19" s="1"/>
  <c r="D45" i="19"/>
  <c r="D41" i="19"/>
  <c r="J51" i="18"/>
  <c r="D47" i="18"/>
  <c r="D49" i="18" s="1"/>
  <c r="D45" i="18"/>
  <c r="D41" i="18"/>
  <c r="F44" i="18" s="1"/>
  <c r="D39" i="18"/>
  <c r="D54" i="17"/>
  <c r="G53" i="17"/>
  <c r="J53" i="17" s="1"/>
  <c r="J51" i="17"/>
  <c r="F44" i="17"/>
  <c r="J51" i="16"/>
  <c r="D49" i="16"/>
  <c r="G53" i="16" s="1"/>
  <c r="J53" i="16" s="1"/>
  <c r="D45" i="16"/>
  <c r="D54" i="16" s="1"/>
  <c r="F44" i="16"/>
  <c r="J51" i="15"/>
  <c r="D47" i="15"/>
  <c r="D49" i="15" s="1"/>
  <c r="D45" i="15"/>
  <c r="D41" i="15"/>
  <c r="J51" i="14"/>
  <c r="D47" i="14"/>
  <c r="D49" i="14" s="1"/>
  <c r="D45" i="14"/>
  <c r="D41" i="14"/>
  <c r="J51" i="13"/>
  <c r="D47" i="13"/>
  <c r="D49" i="13" s="1"/>
  <c r="D45" i="13"/>
  <c r="D41" i="13"/>
  <c r="J51" i="12"/>
  <c r="D47" i="12"/>
  <c r="D49" i="12" s="1"/>
  <c r="D45" i="12"/>
  <c r="D41" i="12"/>
  <c r="J51" i="11"/>
  <c r="D47" i="11"/>
  <c r="D49" i="11" s="1"/>
  <c r="D45" i="11"/>
  <c r="D41" i="11"/>
  <c r="J51" i="10"/>
  <c r="D47" i="10"/>
  <c r="D49" i="10" s="1"/>
  <c r="D45" i="10"/>
  <c r="D41" i="10"/>
  <c r="D54" i="9"/>
  <c r="J51" i="9"/>
  <c r="F44" i="9"/>
  <c r="G37" i="9"/>
  <c r="G53" i="9" s="1"/>
  <c r="J53" i="9" s="1"/>
  <c r="D54" i="8"/>
  <c r="J51" i="8"/>
  <c r="J53" i="8" s="1"/>
  <c r="F44" i="8"/>
  <c r="G37" i="8"/>
  <c r="D54" i="7"/>
  <c r="J51" i="7"/>
  <c r="F44" i="7"/>
  <c r="G37" i="7"/>
  <c r="J53" i="7" s="1"/>
  <c r="D54" i="6"/>
  <c r="J51" i="6"/>
  <c r="F44" i="6"/>
  <c r="G37" i="6"/>
  <c r="G53" i="6" s="1"/>
  <c r="J53" i="6" s="1"/>
  <c r="D54" i="5"/>
  <c r="G53" i="5"/>
  <c r="J51" i="5"/>
  <c r="F44" i="5"/>
  <c r="D54" i="4"/>
  <c r="G53" i="4"/>
  <c r="J51" i="4"/>
  <c r="D54" i="3"/>
  <c r="G53" i="3"/>
  <c r="J51" i="3"/>
  <c r="F44" i="3"/>
  <c r="D54" i="2"/>
  <c r="G53" i="2"/>
  <c r="J51" i="2"/>
  <c r="F44" i="2"/>
  <c r="J51" i="1"/>
  <c r="D49" i="1"/>
  <c r="D51" i="1" s="1"/>
  <c r="D41" i="1"/>
  <c r="G37" i="1"/>
  <c r="D54" i="27" l="1"/>
  <c r="G53" i="27"/>
  <c r="J53" i="27" s="1"/>
  <c r="D54" i="1"/>
  <c r="F44" i="1"/>
  <c r="G53" i="1"/>
  <c r="J53" i="1" s="1"/>
  <c r="J53" i="2"/>
  <c r="J53" i="3"/>
  <c r="J53" i="4"/>
  <c r="J53" i="5"/>
  <c r="D54" i="10"/>
  <c r="G53" i="10" s="1"/>
  <c r="J53" i="10" s="1"/>
  <c r="F44" i="10"/>
  <c r="D54" i="11"/>
  <c r="G53" i="11"/>
  <c r="J53" i="11" s="1"/>
  <c r="F44" i="11"/>
  <c r="D54" i="12"/>
  <c r="G53" i="12" s="1"/>
  <c r="J53" i="12" s="1"/>
  <c r="F44" i="12"/>
  <c r="D54" i="13"/>
  <c r="G53" i="13"/>
  <c r="J53" i="13" s="1"/>
  <c r="F44" i="13"/>
  <c r="D54" i="14"/>
  <c r="G53" i="14"/>
  <c r="J53" i="14" s="1"/>
  <c r="F44" i="14"/>
  <c r="D54" i="15"/>
  <c r="G53" i="15"/>
  <c r="J53" i="15" s="1"/>
  <c r="F44" i="15"/>
  <c r="D54" i="18"/>
  <c r="G53" i="18"/>
  <c r="J53" i="18" s="1"/>
  <c r="D54" i="19"/>
  <c r="G53" i="19"/>
  <c r="J53" i="19" s="1"/>
  <c r="F44" i="19"/>
  <c r="D54" i="20"/>
  <c r="G53" i="20"/>
  <c r="J53" i="20" s="1"/>
  <c r="F44" i="20"/>
  <c r="D49" i="22"/>
  <c r="D54" i="23"/>
  <c r="G53" i="23"/>
  <c r="J53" i="23" s="1"/>
  <c r="F44" i="23"/>
  <c r="D54" i="24"/>
  <c r="G53" i="24"/>
  <c r="J53" i="24" s="1"/>
  <c r="F44" i="24"/>
  <c r="D54" i="25"/>
  <c r="G53" i="25"/>
  <c r="J53" i="25" s="1"/>
  <c r="F44" i="25"/>
  <c r="D54" i="26"/>
  <c r="G53" i="26"/>
  <c r="J53" i="26" s="1"/>
  <c r="F44" i="26"/>
  <c r="D54" i="22" l="1"/>
  <c r="G53" i="22"/>
</calcChain>
</file>

<file path=xl/sharedStrings.xml><?xml version="1.0" encoding="utf-8"?>
<sst xmlns="http://schemas.openxmlformats.org/spreadsheetml/2006/main" count="2865" uniqueCount="387">
  <si>
    <t>TERMO DE RESCISÃO DO CONTRATO DE TRABALHO</t>
  </si>
  <si>
    <t>01-CNPJ</t>
  </si>
  <si>
    <t>02-NOME</t>
  </si>
  <si>
    <t>38.310.752/0001-21</t>
  </si>
  <si>
    <t>MAQ-FIX COMERCIO DE FERRAMENTAS LTDA</t>
  </si>
  <si>
    <t>03-Endereço (logradouro, nº, andar, apartamento)</t>
  </si>
  <si>
    <t>04-Bairro</t>
  </si>
  <si>
    <t>05-Municipio</t>
  </si>
  <si>
    <t>06-UF</t>
  </si>
  <si>
    <t>07-CEP</t>
  </si>
  <si>
    <t>08-CNAE</t>
  </si>
  <si>
    <t xml:space="preserve">09-CPNJ/CEI Tomador/O. </t>
  </si>
  <si>
    <t>10-PIS-PASEP</t>
  </si>
  <si>
    <t>11-Nome</t>
  </si>
  <si>
    <t>KATIANE NATALIA LOURA MOTA</t>
  </si>
  <si>
    <t>12-Endereço (logradouro, nº, andar, apartamento)</t>
  </si>
  <si>
    <t>13-Bairro</t>
  </si>
  <si>
    <t>14-Municipio</t>
  </si>
  <si>
    <t>15-UF</t>
  </si>
  <si>
    <t>16-CEP</t>
  </si>
  <si>
    <t>17-Carteira de Trabalho (nº, série, UF)</t>
  </si>
  <si>
    <t xml:space="preserve">18-CPF </t>
  </si>
  <si>
    <t>19-Data Nascimento</t>
  </si>
  <si>
    <t>20-Nome da Mãe</t>
  </si>
  <si>
    <t>21-Remuneração p/fins rescisórios</t>
  </si>
  <si>
    <t>22-Data de Admissão</t>
  </si>
  <si>
    <t>23-Data do Aviso Prévio</t>
  </si>
  <si>
    <t>24-Data do Afastamento</t>
  </si>
  <si>
    <t>R$-</t>
  </si>
  <si>
    <t>25-Causa do Afastamento</t>
  </si>
  <si>
    <t>26-Codigo de Afastam.</t>
  </si>
  <si>
    <t>27-Pensão Aliment. %</t>
  </si>
  <si>
    <t>28-Cat. Do Trabalhador</t>
  </si>
  <si>
    <t>01 empregado</t>
  </si>
  <si>
    <t>Valor</t>
  </si>
  <si>
    <t>DEDUÇÕES</t>
  </si>
  <si>
    <t>29Aviso Previo Indenizado</t>
  </si>
  <si>
    <t>38-1/3 sob férias indenizada</t>
  </si>
  <si>
    <t>47-Previdência</t>
  </si>
  <si>
    <t>30-Saldo Salário</t>
  </si>
  <si>
    <t>39-REFLEXO EXTRAS DSR</t>
  </si>
  <si>
    <t>48-Previdência</t>
  </si>
  <si>
    <t xml:space="preserve">            13º salário</t>
  </si>
  <si>
    <t>31-13º Salário</t>
  </si>
  <si>
    <t>40-Horas extras</t>
  </si>
  <si>
    <t>49-Adiantamentos</t>
  </si>
  <si>
    <t>/12 avos</t>
  </si>
  <si>
    <t>/horas</t>
  </si>
  <si>
    <t xml:space="preserve">13º salario </t>
  </si>
  <si>
    <t>32-13º Salário Inden.</t>
  </si>
  <si>
    <t>41-Horas Faltas Parcial</t>
  </si>
  <si>
    <t>50-IRRF</t>
  </si>
  <si>
    <t>33-Férias Vencidas</t>
  </si>
  <si>
    <t>42-FGTS 8%</t>
  </si>
  <si>
    <t>51-Aviso Previo</t>
  </si>
  <si>
    <t>-</t>
  </si>
  <si>
    <t>Meses</t>
  </si>
  <si>
    <t>34-1/3 sobre férias vencidas</t>
  </si>
  <si>
    <t>43-FGTS Multa Rescis.</t>
  </si>
  <si>
    <t>52-FALTAS</t>
  </si>
  <si>
    <t>2 Dias</t>
  </si>
  <si>
    <t>35-Férias proporc.</t>
  </si>
  <si>
    <t>44-FGTS Mês rescisão/</t>
  </si>
  <si>
    <t>53-</t>
  </si>
  <si>
    <t xml:space="preserve">     1/12 avos</t>
  </si>
  <si>
    <t>mês anterior</t>
  </si>
  <si>
    <t>36-1/3 sob férias proporc</t>
  </si>
  <si>
    <t xml:space="preserve">45-Faltas  </t>
  </si>
  <si>
    <t>54-TOTAL DAS</t>
  </si>
  <si>
    <t xml:space="preserve">            DEDUÇÕES</t>
  </si>
  <si>
    <t>37-férias Indenizada</t>
  </si>
  <si>
    <t>46-TOTAL BRUTO</t>
  </si>
  <si>
    <t>55-LIQUIDO A RECEBER</t>
  </si>
  <si>
    <r>
      <rPr>
        <sz val="8"/>
        <rFont val="Arial"/>
        <family val="2"/>
        <charset val="1"/>
      </rPr>
      <t xml:space="preserve">      </t>
    </r>
    <r>
      <rPr>
        <b/>
        <sz val="8"/>
        <rFont val="Arial"/>
        <family val="2"/>
        <charset val="1"/>
      </rPr>
      <t xml:space="preserve"> </t>
    </r>
    <r>
      <rPr>
        <sz val="8"/>
        <rFont val="Arial"/>
        <family val="2"/>
        <charset val="1"/>
      </rPr>
      <t xml:space="preserve"> /12 avos</t>
    </r>
  </si>
  <si>
    <t>56-Local e data do Recebimento</t>
  </si>
  <si>
    <t>57-Carimbo e assim. do Empregador preposto</t>
  </si>
  <si>
    <t>58-Assinatura do Trabalhador</t>
  </si>
  <si>
    <t>59-Assinatura do responsavel legal do trabalhador</t>
  </si>
  <si>
    <t>60-HOMOLOGAÇÃO</t>
  </si>
  <si>
    <t>61-Digital do trabalhador</t>
  </si>
  <si>
    <t>62-Digital do resp. legal</t>
  </si>
  <si>
    <t>Foi prestada, gratuitamente, assistência ao trabalhador, nos ter-</t>
  </si>
  <si>
    <t>mos do art. 477, § 1º, da Consolidação das Leis do Trabalho-CLT</t>
  </si>
  <si>
    <t>sendo comprovado, neste ato, o efetivo pagamento das verbas</t>
  </si>
  <si>
    <t>rescisórias acima especificadas.</t>
  </si>
  <si>
    <t>________________________________________</t>
  </si>
  <si>
    <t>Local e Data</t>
  </si>
  <si>
    <t>Carimbo e assinatura do assistente</t>
  </si>
  <si>
    <t>64-Recepção pelo Banco (data e carimbo)</t>
  </si>
  <si>
    <t>63-Identicação do órgão homologador</t>
  </si>
  <si>
    <t>09.590.867/0001-19</t>
  </si>
  <si>
    <t>STYLE LOCACAO DE VANS LTDA</t>
  </si>
  <si>
    <t>R DOM BOSCO, 341, LOJA: B; : ESCRITORIO;</t>
  </si>
  <si>
    <t>INDUSTRIAL</t>
  </si>
  <si>
    <t>CONTAGEM</t>
  </si>
  <si>
    <t>MG</t>
  </si>
  <si>
    <t>32.235-050</t>
  </si>
  <si>
    <t>128.80871.09-5</t>
  </si>
  <si>
    <t>RACHEL VIEIRA DE MELO NORONHA</t>
  </si>
  <si>
    <t>R CRISANTEMO,168,SEÇAO II</t>
  </si>
  <si>
    <t>JARDIM DAS ALTEROSAS</t>
  </si>
  <si>
    <t>BETIM</t>
  </si>
  <si>
    <t>32.673-186</t>
  </si>
  <si>
    <t>00677595 - 3607 / MG</t>
  </si>
  <si>
    <t>067.759.536-07</t>
  </si>
  <si>
    <t>NORMA MARIA DA CONCEICAO</t>
  </si>
  <si>
    <t>Extinção normal do contrato de trabalho por prazo determinado</t>
  </si>
  <si>
    <t>SJ2</t>
  </si>
  <si>
    <t>01 - Empregado</t>
  </si>
  <si>
    <t>dias</t>
  </si>
  <si>
    <t xml:space="preserve">          /12  13º salário</t>
  </si>
  <si>
    <t>2/12 avos</t>
  </si>
  <si>
    <t xml:space="preserve">     2/12 avos</t>
  </si>
  <si>
    <t>37-Outras verbas Rescisorias</t>
  </si>
  <si>
    <t xml:space="preserve">    Diferença  SAL CCT </t>
  </si>
  <si>
    <t>40.691.352/0001-55</t>
  </si>
  <si>
    <t>JM CLINICAS ODONTOLOGICAS LTDA</t>
  </si>
  <si>
    <t>AVENIDA CULA MANGABEIRA, 434</t>
  </si>
  <si>
    <t>CANDIDA CAMARA</t>
  </si>
  <si>
    <t>, MONTES CLAROS</t>
  </si>
  <si>
    <t>39.401-696</t>
  </si>
  <si>
    <t>8630-5/04</t>
  </si>
  <si>
    <t>128.15467.09-9</t>
  </si>
  <si>
    <t>DARDANIA GONCALVES QUEIROZ</t>
  </si>
  <si>
    <t>RUA BOA VONTADE,19</t>
  </si>
  <si>
    <t>SANTA RITA</t>
  </si>
  <si>
    <t>MONTES CLAROS</t>
  </si>
  <si>
    <t>39.400-415</t>
  </si>
  <si>
    <t>0415167 - 3610 / MG</t>
  </si>
  <si>
    <t>041.516.736-10</t>
  </si>
  <si>
    <t>PETRONILIA DA SILVA QUEIROZ</t>
  </si>
  <si>
    <t>9/12 avos</t>
  </si>
  <si>
    <t xml:space="preserve">     12/12 avos</t>
  </si>
  <si>
    <t xml:space="preserve">Diferença  SAL CCT </t>
  </si>
  <si>
    <t>E</t>
  </si>
  <si>
    <t>61.066.927/0001-19</t>
  </si>
  <si>
    <t>L S PESSOA LTDA</t>
  </si>
  <si>
    <t>Q ACSO 1 RUA SO 1, 140, CONJ 01 LOTE 41 A ANDAR 09 SAL, PLANO DIRETOR SUL,</t>
  </si>
  <si>
    <t xml:space="preserve"> PLANO DIRETOR SUL,</t>
  </si>
  <si>
    <t xml:space="preserve"> PALMAS</t>
  </si>
  <si>
    <t>TO</t>
  </si>
  <si>
    <t>EDSON AQUINO DE SENA DA SILVA</t>
  </si>
  <si>
    <t>Rua ANHANGA , 75,</t>
  </si>
  <si>
    <t>CARMARI</t>
  </si>
  <si>
    <t>NOVA IGUACU</t>
  </si>
  <si>
    <t>RJ</t>
  </si>
  <si>
    <t>: 26022-112</t>
  </si>
  <si>
    <t>1499225-4748</t>
  </si>
  <si>
    <t>149.922.547-48</t>
  </si>
  <si>
    <t>ELIZABETH JANE AQUINO DE SENA</t>
  </si>
  <si>
    <t>Pedido de Demissão</t>
  </si>
  <si>
    <t>SJ1</t>
  </si>
  <si>
    <t>/dias</t>
  </si>
  <si>
    <t>1/12 avos</t>
  </si>
  <si>
    <t>42-FGTS 8% 13º Sal</t>
  </si>
  <si>
    <t>37-FGTS DE férias 8%</t>
  </si>
  <si>
    <t>50.855.497/0001-06</t>
  </si>
  <si>
    <t>W S  SERVIÇOS ADMINISTRATIVOS LTDA</t>
  </si>
  <si>
    <t>RUA DEZ NR 1 QD 30 LOTE 03A</t>
  </si>
  <si>
    <t>MINERIOS</t>
  </si>
  <si>
    <t>PARAUAPEBAS</t>
  </si>
  <si>
    <t>PA</t>
  </si>
  <si>
    <t>68.515-000</t>
  </si>
  <si>
    <t>8211-3/00</t>
  </si>
  <si>
    <t>BETINA CORDEIRO DOS SANTOS</t>
  </si>
  <si>
    <t>003.603.532-74</t>
  </si>
  <si>
    <t>Sem justa causa, pelo empregador</t>
  </si>
  <si>
    <t>7/12 avos</t>
  </si>
  <si>
    <t xml:space="preserve">          5/12  13º salário</t>
  </si>
  <si>
    <t xml:space="preserve">     11/12 avos</t>
  </si>
  <si>
    <r>
      <rPr>
        <sz val="8"/>
        <rFont val="Arial"/>
        <family val="2"/>
        <charset val="1"/>
      </rPr>
      <t xml:space="preserve">      1</t>
    </r>
    <r>
      <rPr>
        <b/>
        <sz val="8"/>
        <rFont val="Arial"/>
        <family val="2"/>
        <charset val="1"/>
      </rPr>
      <t xml:space="preserve"> </t>
    </r>
    <r>
      <rPr>
        <sz val="8"/>
        <rFont val="Arial"/>
        <family val="2"/>
        <charset val="1"/>
      </rPr>
      <t xml:space="preserve"> /12 avos</t>
    </r>
  </si>
  <si>
    <t>26.009.131/0001-23</t>
  </si>
  <si>
    <t>WA MEDICAMENTOS LTDA</t>
  </si>
  <si>
    <t>RUA PROFESSOR MANORL JOAQUIM, 42</t>
  </si>
  <si>
    <t>CENTRO</t>
  </si>
  <si>
    <t>CEDRO</t>
  </si>
  <si>
    <t>PE</t>
  </si>
  <si>
    <t>4771-7</t>
  </si>
  <si>
    <t>ANA KARLA FARIAS DE OLIVEIRA</t>
  </si>
  <si>
    <t xml:space="preserve">     5/12 avos</t>
  </si>
  <si>
    <t>57.687.418/0001-36</t>
  </si>
  <si>
    <t>L&amp;V MARTINS LTDA</t>
  </si>
  <si>
    <t>AVENIDA JOSÉ CAVALCANTE, 162</t>
  </si>
  <si>
    <t>AGUA BRANCA</t>
  </si>
  <si>
    <t>URUCUI</t>
  </si>
  <si>
    <t>PI</t>
  </si>
  <si>
    <t>64.860-000</t>
  </si>
  <si>
    <t>JOAO GABRIEL</t>
  </si>
  <si>
    <t>termino de contrato</t>
  </si>
  <si>
    <t>40-Horas extras 100%</t>
  </si>
  <si>
    <t>41-Horas extras 50%</t>
  </si>
  <si>
    <t>meses</t>
  </si>
  <si>
    <t xml:space="preserve">       /12 avos</t>
  </si>
  <si>
    <t>60.184.883/0001-69</t>
  </si>
  <si>
    <t>C &amp; J SERVICOS ADMISTRATIVOS LTDA</t>
  </si>
  <si>
    <t>Q ACSO 1 RUA SO 1, 0 CONJ 01 LOTE 41 A ANDAR 09 SAL</t>
  </si>
  <si>
    <t>PLANO DIRETOR SUL</t>
  </si>
  <si>
    <t>PALMAS-TO</t>
  </si>
  <si>
    <t xml:space="preserve">JHENIFER  NUNES DE  AZEVEDO   </t>
  </si>
  <si>
    <t xml:space="preserve">44-FGTS </t>
  </si>
  <si>
    <t xml:space="preserve">  </t>
  </si>
  <si>
    <t xml:space="preserve">   1/12 avos</t>
  </si>
  <si>
    <t>Mês rescisão/</t>
  </si>
  <si>
    <t>45-Outros</t>
  </si>
  <si>
    <t>Multa 477 CLT</t>
  </si>
  <si>
    <t>ro</t>
  </si>
  <si>
    <t xml:space="preserve">     /12 avos</t>
  </si>
  <si>
    <r>
      <rPr>
        <sz val="8"/>
        <rFont val="Arial"/>
        <family val="2"/>
        <charset val="1"/>
      </rPr>
      <t xml:space="preserve">      0</t>
    </r>
    <r>
      <rPr>
        <b/>
        <sz val="8"/>
        <rFont val="Arial"/>
        <family val="2"/>
        <charset val="1"/>
      </rPr>
      <t xml:space="preserve"> </t>
    </r>
    <r>
      <rPr>
        <sz val="8"/>
        <rFont val="Arial"/>
        <family val="2"/>
        <charset val="1"/>
      </rPr>
      <t xml:space="preserve"> /12 avos</t>
    </r>
  </si>
  <si>
    <t>58.342.785/0001-60</t>
  </si>
  <si>
    <t>SMA SERV ADMINISTRATIVOS LTDA</t>
  </si>
  <si>
    <t>RUA LUIS DOMINGUES, , S/N, SALA 1 A</t>
  </si>
  <si>
    <t>CANDIDO MENDES -MA</t>
  </si>
  <si>
    <t>MA</t>
  </si>
  <si>
    <t>65.280-000</t>
  </si>
  <si>
    <t>CARLOS ADRIANO BARROS DA COSTA</t>
  </si>
  <si>
    <t>6307423-4393/ MA</t>
  </si>
  <si>
    <t>630.742.343-93</t>
  </si>
  <si>
    <t>ALBER SILVIA DOS SANTOS BARROS</t>
  </si>
  <si>
    <t>5/12 avos</t>
  </si>
  <si>
    <t xml:space="preserve">     4/12 avos</t>
  </si>
  <si>
    <t>01-CPF</t>
  </si>
  <si>
    <t>02-Razão Social</t>
  </si>
  <si>
    <t>038.502.021-00</t>
  </si>
  <si>
    <t>GEORGES VINICIUS FERREIRA DA SILVA</t>
  </si>
  <si>
    <t>PALMAS</t>
  </si>
  <si>
    <t>CRISTIANE MACHADO DINIZ</t>
  </si>
  <si>
    <t>18-CPF</t>
  </si>
  <si>
    <t>036.591.23.83</t>
  </si>
  <si>
    <t>ACERTO</t>
  </si>
  <si>
    <t>29-Aviso Prévio indenizado</t>
  </si>
  <si>
    <t xml:space="preserve">38-Multa atraso </t>
  </si>
  <si>
    <t xml:space="preserve"> dias </t>
  </si>
  <si>
    <t>Pagamento de Rescisao</t>
  </si>
  <si>
    <t xml:space="preserve">39-1/3 Férias </t>
  </si>
  <si>
    <t>41-Adic. Insalubridade</t>
  </si>
  <si>
    <t xml:space="preserve">         periculosidade</t>
  </si>
  <si>
    <t xml:space="preserve">          16 Indenizado</t>
  </si>
  <si>
    <t>34-Férias proporc.</t>
  </si>
  <si>
    <t>/12avos</t>
  </si>
  <si>
    <t xml:space="preserve">horas faltas </t>
  </si>
  <si>
    <t>35-1/3 Férias</t>
  </si>
  <si>
    <t xml:space="preserve">               </t>
  </si>
  <si>
    <t>36-Salário família</t>
  </si>
  <si>
    <t>45-</t>
  </si>
  <si>
    <t>Faltas 6dias</t>
  </si>
  <si>
    <t>37-Adicional</t>
  </si>
  <si>
    <t xml:space="preserve">               noturno</t>
  </si>
  <si>
    <t>01-CNPJ/CEI</t>
  </si>
  <si>
    <t>37.112.966/0001-20</t>
  </si>
  <si>
    <t>SERVIÇOS ADMINISTRATIVOS WJ LTDA</t>
  </si>
  <si>
    <t>AVENIDA CASTELO BRANCO</t>
  </si>
  <si>
    <t>SÃO GERALDO DO ARAGUAIA</t>
  </si>
  <si>
    <t>157.87528.45-3</t>
  </si>
  <si>
    <t>LAIANE COELHO DE SOUSA</t>
  </si>
  <si>
    <t>30.340.321/0001-04</t>
  </si>
  <si>
    <t>FREITAS &amp; MAGRI FARMA LTDA</t>
  </si>
  <si>
    <t>143.02413.39-1</t>
  </si>
  <si>
    <t>BRENA MAGNA SILVA VENTURA</t>
  </si>
  <si>
    <t>TUCUMA</t>
  </si>
  <si>
    <t>050.964.982-39</t>
  </si>
  <si>
    <t>CARLA SILVA E SOUSA</t>
  </si>
  <si>
    <t>15.323.306/0001-56</t>
  </si>
  <si>
    <t>JORGE LUIZ MELOTTO</t>
  </si>
  <si>
    <t>AVENIDA RIO MARIA</t>
  </si>
  <si>
    <t>SETOR PLANALTO</t>
  </si>
  <si>
    <t>RIO MARIA</t>
  </si>
  <si>
    <t>68530-000</t>
  </si>
  <si>
    <t>LUCIANO DA SILVA PEREIRA</t>
  </si>
  <si>
    <t>18-FUNÇÃO</t>
  </si>
  <si>
    <t>IVONEIDE SANTOS DE OLIVEIRA</t>
  </si>
  <si>
    <t>38-férias(aviso previo ind)</t>
  </si>
  <si>
    <r>
      <rPr>
        <b/>
        <sz val="8"/>
        <rFont val="Arial"/>
        <family val="2"/>
        <charset val="1"/>
      </rPr>
      <t>27,95</t>
    </r>
    <r>
      <rPr>
        <sz val="8"/>
        <rFont val="Arial"/>
        <family val="2"/>
        <charset val="1"/>
      </rPr>
      <t>/horas</t>
    </r>
  </si>
  <si>
    <t>42-Dsr hora extra</t>
  </si>
  <si>
    <t xml:space="preserve">          30Indenizado</t>
  </si>
  <si>
    <t>43-Multa Quebra de contrato</t>
  </si>
  <si>
    <t xml:space="preserve"> </t>
  </si>
  <si>
    <t>horas faltas 4:30hs</t>
  </si>
  <si>
    <t>44-FGTS 8%</t>
  </si>
  <si>
    <t>32-Férias prop Inden.</t>
  </si>
  <si>
    <t>45-Hora extra 50%</t>
  </si>
  <si>
    <r>
      <rPr>
        <b/>
        <sz val="8"/>
        <rFont val="Arial"/>
        <family val="2"/>
        <charset val="1"/>
      </rPr>
      <t xml:space="preserve">     </t>
    </r>
    <r>
      <rPr>
        <b/>
        <sz val="8"/>
        <color theme="1"/>
        <rFont val="Arial"/>
        <family val="2"/>
        <charset val="1"/>
      </rPr>
      <t xml:space="preserve">  12,40</t>
    </r>
    <r>
      <rPr>
        <sz val="8"/>
        <rFont val="Arial"/>
        <family val="2"/>
        <charset val="1"/>
      </rPr>
      <t xml:space="preserve"> /horas</t>
    </r>
  </si>
  <si>
    <t>36.344.941/0001-90</t>
  </si>
  <si>
    <t>TOFFOLI SERVICOS ADMINISTRATIVOS LTDA</t>
  </si>
  <si>
    <t>Avenida AV H, SALA 02 LOTE 15 QUADRA76</t>
  </si>
  <si>
    <t>JARDIM AURENY III</t>
  </si>
  <si>
    <t>KELIEIDE TENORIO BEZERRA</t>
  </si>
  <si>
    <t>ATENDENTE DE PADARIA</t>
  </si>
  <si>
    <t xml:space="preserve">          27 dias Indenizado</t>
  </si>
  <si>
    <t>35.657.208/0001-62</t>
  </si>
  <si>
    <t>SENNA SERVIÇOS ADMINISTRATIVOS LTDA</t>
  </si>
  <si>
    <t>TUCUMÃ</t>
  </si>
  <si>
    <t>LUCAS PEREIRA SANTOS MARTINS</t>
  </si>
  <si>
    <t>BALCONISTA</t>
  </si>
  <si>
    <t>25.027.953/0001-74</t>
  </si>
  <si>
    <t>BEM BARATO SERVIÇOS ADMINISTRATIVOS LTDA</t>
  </si>
  <si>
    <t>ROD TO 080 MARGINAL NORTE QD QC 02 LOTE 7/28</t>
  </si>
  <si>
    <t>LUZIMANGUES</t>
  </si>
  <si>
    <t>PORTO NACIONAL</t>
  </si>
  <si>
    <t>77502-0000</t>
  </si>
  <si>
    <t>RAFAEL HENRIQUE ALVES DOS REIS</t>
  </si>
  <si>
    <t>77502-000</t>
  </si>
  <si>
    <t>01/07//2020</t>
  </si>
  <si>
    <t xml:space="preserve">30 dias </t>
  </si>
  <si>
    <t>desconto</t>
  </si>
  <si>
    <t>horas faltas 15,29hs</t>
  </si>
  <si>
    <t>18.689.819/0001-73</t>
  </si>
  <si>
    <t>S G B SILVA - EIRELI</t>
  </si>
  <si>
    <t xml:space="preserve">RUA 5 </t>
  </si>
  <si>
    <t>RIO DOS BOIS</t>
  </si>
  <si>
    <t>JOSE ADAILTON</t>
  </si>
  <si>
    <t xml:space="preserve">dias </t>
  </si>
  <si>
    <t>39-adicional</t>
  </si>
  <si>
    <t>CAIXA</t>
  </si>
  <si>
    <t xml:space="preserve">          3/12 avos</t>
  </si>
  <si>
    <t xml:space="preserve">      1  /12 avos</t>
  </si>
  <si>
    <t>36.404.114/0001-44</t>
  </si>
  <si>
    <t>CUNHA MAGRI COMERCIO DE MEDICAMENTOS EIRELI</t>
  </si>
  <si>
    <t>AV 24 DE JANEIRO</t>
  </si>
  <si>
    <t>PACAJA</t>
  </si>
  <si>
    <t>68.485-00</t>
  </si>
  <si>
    <t>MARIA FEITOSA RODRIGUÊS</t>
  </si>
  <si>
    <t>68.385-000</t>
  </si>
  <si>
    <t>050.643.552-03</t>
  </si>
  <si>
    <t>MARIA DE FATIMA MARQUES FEITOSA</t>
  </si>
  <si>
    <t xml:space="preserve"> Pedido de demissão  </t>
  </si>
  <si>
    <t>15 férias</t>
  </si>
  <si>
    <t xml:space="preserve">      30 dias Indenizado</t>
  </si>
  <si>
    <t>13 Dias</t>
  </si>
  <si>
    <t>03 DSR</t>
  </si>
  <si>
    <t>37.312.663/0001-44</t>
  </si>
  <si>
    <t>F. L. SILVA SERVICOS ADMINISTRATIVOS LTDA</t>
  </si>
  <si>
    <t>REDENÇÃO</t>
  </si>
  <si>
    <t>MIKAELY LIMA DE SOUSA</t>
  </si>
  <si>
    <t>30 dias</t>
  </si>
  <si>
    <t xml:space="preserve">  30 dias Indenizado</t>
  </si>
  <si>
    <t>6 Dias</t>
  </si>
  <si>
    <t>36-13º salario Indenizado</t>
  </si>
  <si>
    <t xml:space="preserve">45-Salario ref Mês </t>
  </si>
  <si>
    <t>Avos</t>
  </si>
  <si>
    <t>30 dias mês setembro</t>
  </si>
  <si>
    <t>36.454.311/0001-78</t>
  </si>
  <si>
    <t xml:space="preserve">CAPITAL WOK RESTAURANTE E CHOPERIA LTDA </t>
  </si>
  <si>
    <t>BRASILIA</t>
  </si>
  <si>
    <t>DF</t>
  </si>
  <si>
    <t>RAFAEL COSTA PEREIRA</t>
  </si>
  <si>
    <t>054.954.701-09</t>
  </si>
  <si>
    <t>02/012020</t>
  </si>
  <si>
    <t>40-Horas extras 50%</t>
  </si>
  <si>
    <t>41-Horas extras 100%</t>
  </si>
  <si>
    <t xml:space="preserve">                9/horas </t>
  </si>
  <si>
    <t>52-Faltas horas</t>
  </si>
  <si>
    <t xml:space="preserve">45-Adicional noturno </t>
  </si>
  <si>
    <t>86,85 horas</t>
  </si>
  <si>
    <t>AVENIDA SÃO GERALDO DO ARAGUAIA</t>
  </si>
  <si>
    <t>LUANA SENA DOS SANTOS</t>
  </si>
  <si>
    <t xml:space="preserve"> dias Indenizado</t>
  </si>
  <si>
    <t>Dias</t>
  </si>
  <si>
    <t>24.986.922/0001-88</t>
  </si>
  <si>
    <t>LAVA &amp; OLIVEIRA COMERCIO DE MEDICAMENTOS LTDA</t>
  </si>
  <si>
    <t>ALTO PARAISO</t>
  </si>
  <si>
    <t>RO</t>
  </si>
  <si>
    <t>MARLI APARECIDA MIGUELONE DUTRA</t>
  </si>
  <si>
    <t>Pedido de demissão</t>
  </si>
  <si>
    <t>39.292.731/0001-93</t>
  </si>
  <si>
    <t>MARIA LUIZA DE LIMA - COMERCIO LTDA</t>
  </si>
  <si>
    <t>R VASCO AFONSO DE CARVALHO QUADRA46 LOTE 25</t>
  </si>
  <si>
    <t>JARDIM FATIMA</t>
  </si>
  <si>
    <t>SÃO JOÃO DE MERITI</t>
  </si>
  <si>
    <t>25570-730</t>
  </si>
  <si>
    <t>GABRIEL DA SILVA LEONARDO PEDROZA</t>
  </si>
  <si>
    <t>167.363.607-14</t>
  </si>
  <si>
    <t>37.105.738/0001-23</t>
  </si>
  <si>
    <t>MS SERVIÇOS AMINISTRATIVOS LTDA</t>
  </si>
  <si>
    <t>SANTANA DO ARAGUAIA</t>
  </si>
  <si>
    <t>DHESSICA VISLAILY MORAES DA SILVA</t>
  </si>
  <si>
    <t>35.960.170/0001-00</t>
  </si>
  <si>
    <t>PEREIRA E SILVA SERVIÇOS ADMINISTRATIVOS LTDA</t>
  </si>
  <si>
    <t>RUA MACAPÁ</t>
  </si>
  <si>
    <t>LIBERDADE</t>
  </si>
  <si>
    <t>68515-000</t>
  </si>
  <si>
    <t xml:space="preserve">NATANNE DA CRUZ LOPES </t>
  </si>
  <si>
    <t>OPERADORA DE CAIXA</t>
  </si>
  <si>
    <t>01-CPF:</t>
  </si>
  <si>
    <t>630.628.872-49</t>
  </si>
  <si>
    <t>CLÉSIO DE ALENCAR OLIVEIRA</t>
  </si>
  <si>
    <t>MANOEL NUNES</t>
  </si>
  <si>
    <t>CASEIRO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</si>
</sst>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_(* #,##0.00_);_(* \(#,##0.00\);_(* \-??_);_(@_)"/>
    <numFmt numFmtId="166" formatCode="_-* #,##0.00_-;\-* #,##0.00_-;_-* \-??_-;_-@_-"/>
  </numFmts>
  <fonts count="12">
    <font>
      <sz val="10"/>
      <name val="Arial"/>
      <charset val="1"/>
    </font>
    <font>
      <sz val="8"/>
      <name val="Arial"/>
      <family val="2"/>
      <charset val="1"/>
    </font>
    <font>
      <b/>
      <sz val="11"/>
      <name val="Arial"/>
      <family val="2"/>
      <charset val="1"/>
    </font>
    <font>
      <b/>
      <sz val="8"/>
      <name val="Arial"/>
      <family val="2"/>
      <charset val="1"/>
    </font>
    <font>
      <b/>
      <sz val="8"/>
      <color rgb="FFFFFFFF"/>
      <name val="Arial"/>
      <family val="2"/>
      <charset val="1"/>
    </font>
    <font>
      <sz val="10"/>
      <name val="Arial"/>
      <family val="2"/>
      <charset val="1"/>
    </font>
    <font>
      <b/>
      <sz val="9"/>
      <name val="Arial"/>
      <family val="2"/>
      <charset val="1"/>
    </font>
    <font>
      <sz val="8"/>
      <name val="Arial"/>
      <family val="2"/>
    </font>
    <font>
      <b/>
      <sz val="9"/>
      <name val="Tahoma"/>
      <family val="2"/>
      <charset val="1"/>
    </font>
    <font>
      <b/>
      <sz val="8"/>
      <color rgb="FF000000"/>
      <name val="Arial"/>
      <family val="2"/>
      <charset val="1"/>
    </font>
    <font>
      <b/>
      <sz val="8"/>
      <color theme="1"/>
      <name val="Arial"/>
      <family val="2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5" fontId="11" fillId="0" borderId="0" applyBorder="0" applyProtection="0"/>
  </cellStyleXfs>
  <cellXfs count="6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3" fillId="2" borderId="0" xfId="0" applyFont="1" applyFill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6" xfId="0" applyFont="1" applyFill="1" applyBorder="1"/>
    <xf numFmtId="0" fontId="1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6" xfId="0" applyNumberFormat="1" applyFont="1" applyFill="1" applyBorder="1"/>
    <xf numFmtId="164" fontId="3" fillId="2" borderId="8" xfId="0" applyNumberFormat="1" applyFont="1" applyFill="1" applyBorder="1" applyAlignment="1">
      <alignment horizontal="center"/>
    </xf>
    <xf numFmtId="164" fontId="3" fillId="2" borderId="6" xfId="0" applyNumberFormat="1" applyFont="1" applyFill="1" applyBorder="1"/>
    <xf numFmtId="0" fontId="3" fillId="2" borderId="0" xfId="0" applyFont="1" applyFill="1" applyAlignment="1">
      <alignment horizontal="right"/>
    </xf>
    <xf numFmtId="165" fontId="3" fillId="2" borderId="7" xfId="1" applyFont="1" applyFill="1" applyBorder="1" applyProtection="1"/>
    <xf numFmtId="164" fontId="3" fillId="2" borderId="4" xfId="0" applyNumberFormat="1" applyFont="1" applyFill="1" applyBorder="1"/>
    <xf numFmtId="0" fontId="3" fillId="2" borderId="5" xfId="0" applyFont="1" applyFill="1" applyBorder="1"/>
    <xf numFmtId="0" fontId="1" fillId="2" borderId="9" xfId="0" applyFont="1" applyFill="1" applyBorder="1" applyAlignment="1">
      <alignment horizontal="left"/>
    </xf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165" fontId="3" fillId="2" borderId="12" xfId="1" applyFont="1" applyFill="1" applyBorder="1" applyProtection="1"/>
    <xf numFmtId="165" fontId="3" fillId="2" borderId="9" xfId="1" applyFont="1" applyFill="1" applyBorder="1" applyProtection="1"/>
    <xf numFmtId="165" fontId="3" fillId="2" borderId="13" xfId="1" applyFont="1" applyFill="1" applyBorder="1" applyProtection="1"/>
    <xf numFmtId="166" fontId="1" fillId="2" borderId="0" xfId="0" applyNumberFormat="1" applyFont="1" applyFill="1"/>
    <xf numFmtId="165" fontId="4" fillId="2" borderId="3" xfId="1" applyFont="1" applyFill="1" applyBorder="1" applyProtection="1"/>
    <xf numFmtId="9" fontId="1" fillId="2" borderId="6" xfId="0" applyNumberFormat="1" applyFont="1" applyFill="1" applyBorder="1"/>
    <xf numFmtId="0" fontId="3" fillId="2" borderId="1" xfId="0" applyFont="1" applyFill="1" applyBorder="1"/>
    <xf numFmtId="166" fontId="3" fillId="2" borderId="13" xfId="1" applyNumberFormat="1" applyFont="1" applyFill="1" applyBorder="1" applyProtection="1"/>
    <xf numFmtId="165" fontId="4" fillId="2" borderId="0" xfId="1" applyFont="1" applyFill="1" applyBorder="1" applyProtection="1"/>
    <xf numFmtId="0" fontId="0" fillId="0" borderId="7" xfId="0" applyBorder="1"/>
    <xf numFmtId="0" fontId="3" fillId="0" borderId="7" xfId="0" applyFont="1" applyBorder="1"/>
    <xf numFmtId="0" fontId="3" fillId="0" borderId="6" xfId="0" applyFont="1" applyBorder="1"/>
    <xf numFmtId="0" fontId="5" fillId="0" borderId="7" xfId="0" applyFont="1" applyBorder="1"/>
    <xf numFmtId="0" fontId="3" fillId="0" borderId="0" xfId="0" applyFont="1"/>
    <xf numFmtId="49" fontId="3" fillId="2" borderId="8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7" xfId="0" applyFont="1" applyBorder="1"/>
    <xf numFmtId="166" fontId="3" fillId="2" borderId="8" xfId="0" applyNumberFormat="1" applyFont="1" applyFill="1" applyBorder="1"/>
    <xf numFmtId="0" fontId="1" fillId="2" borderId="7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left"/>
    </xf>
    <xf numFmtId="0" fontId="7" fillId="2" borderId="8" xfId="0" applyFont="1" applyFill="1" applyBorder="1"/>
    <xf numFmtId="0" fontId="8" fillId="0" borderId="0" xfId="0" applyFont="1"/>
    <xf numFmtId="165" fontId="4" fillId="2" borderId="9" xfId="1" applyFont="1" applyFill="1" applyBorder="1" applyProtection="1"/>
    <xf numFmtId="0" fontId="9" fillId="0" borderId="0" xfId="0" applyFont="1"/>
    <xf numFmtId="165" fontId="3" fillId="2" borderId="6" xfId="1" applyFont="1" applyFill="1" applyBorder="1" applyProtection="1"/>
    <xf numFmtId="165" fontId="1" fillId="2" borderId="8" xfId="1" applyFont="1" applyFill="1" applyBorder="1" applyProtection="1"/>
    <xf numFmtId="0" fontId="3" fillId="2" borderId="6" xfId="0" applyFont="1" applyFill="1" applyBorder="1" applyAlignment="1">
      <alignment horizontal="left"/>
    </xf>
    <xf numFmtId="0" fontId="3" fillId="2" borderId="3" xfId="0" applyFont="1" applyFill="1" applyBorder="1"/>
    <xf numFmtId="3" fontId="3" fillId="2" borderId="7" xfId="0" applyNumberFormat="1" applyFont="1" applyFill="1" applyBorder="1"/>
    <xf numFmtId="164" fontId="3" fillId="2" borderId="8" xfId="0" applyNumberFormat="1" applyFont="1" applyFill="1" applyBorder="1"/>
    <xf numFmtId="3" fontId="3" fillId="0" borderId="7" xfId="0" applyNumberFormat="1" applyFont="1" applyBorder="1"/>
    <xf numFmtId="0" fontId="3" fillId="2" borderId="13" xfId="0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4"/>
  <sheetViews>
    <sheetView zoomScaleNormal="100" workbookViewId="0">
      <selection activeCell="K42" activeCellId="2" sqref="G45 G49 K42"/>
    </sheetView>
  </sheetViews>
  <sheetFormatPr defaultColWidth="9.140625" defaultRowHeight="11.25" customHeight="1"/>
  <cols>
    <col min="1" max="1" width="7.5703125" style="1" customWidth="1"/>
    <col min="2" max="2" width="10.42578125" style="1" customWidth="1"/>
    <col min="3" max="3" width="10.28515625" style="1" customWidth="1"/>
    <col min="4" max="4" width="8.42578125" style="1" customWidth="1"/>
    <col min="5" max="5" width="9.42578125" style="1" customWidth="1"/>
    <col min="6" max="6" width="11" style="1" customWidth="1"/>
    <col min="7" max="7" width="8.7109375" style="1" customWidth="1"/>
    <col min="8" max="8" width="9.140625" style="1"/>
    <col min="9" max="9" width="8.7109375" style="1" customWidth="1"/>
    <col min="10" max="10" width="9.85546875" style="1" customWidth="1"/>
    <col min="11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1</v>
      </c>
      <c r="C5" s="4"/>
      <c r="D5" s="2" t="s">
        <v>2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3</v>
      </c>
      <c r="C7" s="13"/>
      <c r="D7" s="14" t="s">
        <v>4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C10" s="12"/>
      <c r="D10" s="12"/>
      <c r="E10" s="12"/>
      <c r="H10" s="12"/>
      <c r="I10" s="14"/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/>
      <c r="C13" s="12"/>
      <c r="D13" s="13"/>
      <c r="E13" s="16"/>
      <c r="F13" s="17"/>
      <c r="G13" s="13"/>
      <c r="H13" s="18"/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/>
      <c r="C17" s="12"/>
      <c r="D17" s="14" t="s">
        <v>14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2"/>
      <c r="C20" s="12"/>
      <c r="D20" s="12"/>
      <c r="E20" s="12"/>
      <c r="H20" s="12"/>
      <c r="I20" s="12"/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/>
      <c r="C23" s="12"/>
      <c r="D23" s="12"/>
      <c r="E23" s="16"/>
      <c r="F23" s="14"/>
      <c r="G23" s="13"/>
      <c r="H23" s="14"/>
      <c r="I23" s="12"/>
      <c r="J23" s="13"/>
    </row>
    <row r="24" spans="2:10">
      <c r="B24" s="3" t="s">
        <v>21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12"/>
      <c r="C26" s="12"/>
      <c r="D26" s="19"/>
      <c r="E26" s="13"/>
      <c r="F26" s="14"/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1250</v>
      </c>
      <c r="D30" s="13"/>
      <c r="E30" s="22">
        <v>44652</v>
      </c>
      <c r="F30" s="23"/>
      <c r="G30" s="19"/>
      <c r="H30" s="13"/>
      <c r="I30" s="19">
        <v>44690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4" s="11" customFormat="1">
      <c r="B33" s="12"/>
      <c r="C33" s="12"/>
      <c r="D33" s="12"/>
      <c r="E33" s="14"/>
      <c r="F33" s="13"/>
      <c r="G33" s="12"/>
      <c r="H33" s="13"/>
      <c r="I33" s="14" t="s">
        <v>33</v>
      </c>
      <c r="J33" s="13"/>
    </row>
    <row r="34" spans="2:14" ht="8.25" customHeight="1"/>
    <row r="35" spans="2:14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4">
      <c r="B36" s="1" t="s">
        <v>36</v>
      </c>
      <c r="C36" s="7"/>
      <c r="D36" s="28"/>
      <c r="E36" s="5" t="s">
        <v>37</v>
      </c>
      <c r="F36" s="7"/>
      <c r="G36" s="28"/>
      <c r="H36" s="2" t="s">
        <v>38</v>
      </c>
      <c r="I36" s="4"/>
      <c r="J36" s="29"/>
    </row>
    <row r="37" spans="2:14">
      <c r="B37" s="9"/>
      <c r="C37" s="10"/>
      <c r="D37" s="30"/>
      <c r="E37" s="8"/>
      <c r="F37" s="10"/>
      <c r="G37" s="30">
        <f>D53/3</f>
        <v>0</v>
      </c>
      <c r="H37" s="8"/>
      <c r="I37" s="10"/>
      <c r="J37" s="30"/>
    </row>
    <row r="38" spans="2:14">
      <c r="B38" s="3" t="s">
        <v>39</v>
      </c>
      <c r="C38" s="4"/>
      <c r="D38" s="29"/>
      <c r="E38" s="1" t="s">
        <v>40</v>
      </c>
      <c r="G38" s="29"/>
      <c r="H38" s="2" t="s">
        <v>41</v>
      </c>
      <c r="I38" s="4"/>
      <c r="J38" s="29"/>
    </row>
    <row r="39" spans="2:14">
      <c r="B39" s="12"/>
      <c r="C39" s="10"/>
      <c r="D39" s="30">
        <v>362.9</v>
      </c>
      <c r="G39" s="30"/>
      <c r="H39" s="8" t="s">
        <v>42</v>
      </c>
      <c r="I39" s="10"/>
      <c r="J39" s="30"/>
    </row>
    <row r="40" spans="2:14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  <c r="N40" s="31"/>
    </row>
    <row r="41" spans="2:14">
      <c r="B41" s="12">
        <v>1</v>
      </c>
      <c r="C41" s="10" t="s">
        <v>46</v>
      </c>
      <c r="D41" s="30">
        <f>C30/12*1</f>
        <v>104.16666666666667</v>
      </c>
      <c r="E41" s="14"/>
      <c r="F41" s="10" t="s">
        <v>47</v>
      </c>
      <c r="G41" s="30"/>
      <c r="H41" s="8" t="s">
        <v>48</v>
      </c>
      <c r="I41" s="10"/>
      <c r="J41" s="30">
        <v>0</v>
      </c>
      <c r="N41" s="31"/>
    </row>
    <row r="42" spans="2:14">
      <c r="B42" s="3" t="s">
        <v>49</v>
      </c>
      <c r="C42" s="4"/>
      <c r="D42" s="29"/>
      <c r="E42" s="2" t="s">
        <v>50</v>
      </c>
      <c r="F42" s="4"/>
      <c r="G42" s="29"/>
      <c r="H42" s="2" t="s">
        <v>51</v>
      </c>
      <c r="I42" s="4"/>
      <c r="J42" s="29"/>
    </row>
    <row r="43" spans="2:14">
      <c r="B43" s="12"/>
      <c r="C43" s="10" t="s">
        <v>46</v>
      </c>
      <c r="D43" s="30"/>
      <c r="E43" s="14"/>
      <c r="F43" s="10" t="s">
        <v>47</v>
      </c>
      <c r="G43" s="30"/>
      <c r="H43" s="8"/>
      <c r="I43" s="10"/>
      <c r="J43" s="30"/>
    </row>
    <row r="44" spans="2:14">
      <c r="B44" s="3" t="s">
        <v>52</v>
      </c>
      <c r="C44" s="4"/>
      <c r="D44" s="29"/>
      <c r="E44" s="2" t="s">
        <v>53</v>
      </c>
      <c r="F44" s="32">
        <f>(D37+D41+D43)*8%</f>
        <v>8.3333333333333339</v>
      </c>
      <c r="H44" s="2" t="s">
        <v>54</v>
      </c>
      <c r="I44" s="4"/>
      <c r="J44" s="29"/>
    </row>
    <row r="45" spans="2:14">
      <c r="B45" s="12"/>
      <c r="C45" s="10" t="s">
        <v>46</v>
      </c>
      <c r="D45" s="30" t="s">
        <v>55</v>
      </c>
      <c r="E45" s="14"/>
      <c r="F45" s="10" t="s">
        <v>56</v>
      </c>
      <c r="G45" s="30">
        <v>137.36000000000001</v>
      </c>
      <c r="H45" s="8"/>
      <c r="I45" s="10"/>
      <c r="J45" s="30"/>
    </row>
    <row r="46" spans="2:14">
      <c r="B46" s="3" t="s">
        <v>57</v>
      </c>
      <c r="C46" s="4"/>
      <c r="D46" s="29"/>
      <c r="E46" s="2" t="s">
        <v>58</v>
      </c>
      <c r="F46" s="4"/>
      <c r="H46" s="2" t="s">
        <v>59</v>
      </c>
      <c r="I46" s="4"/>
      <c r="J46" s="29"/>
    </row>
    <row r="47" spans="2:14">
      <c r="B47" s="12"/>
      <c r="C47" s="10"/>
      <c r="D47" s="30" t="s">
        <v>55</v>
      </c>
      <c r="E47" s="33">
        <v>0.4</v>
      </c>
      <c r="F47" s="10"/>
      <c r="G47" s="30"/>
      <c r="H47" s="8" t="s">
        <v>60</v>
      </c>
      <c r="I47" s="10"/>
      <c r="J47" s="30">
        <v>0</v>
      </c>
    </row>
    <row r="48" spans="2:14">
      <c r="B48" s="3" t="s">
        <v>61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64</v>
      </c>
      <c r="C49" s="10"/>
      <c r="D49" s="30">
        <f>C30/12</f>
        <v>104.16666666666667</v>
      </c>
      <c r="E49" s="8" t="s">
        <v>65</v>
      </c>
      <c r="F49" s="10"/>
      <c r="G49" s="30"/>
      <c r="H49" s="8"/>
      <c r="I49" s="10"/>
      <c r="J49" s="30">
        <v>0</v>
      </c>
    </row>
    <row r="50" spans="2:10">
      <c r="B50" s="3" t="s">
        <v>66</v>
      </c>
      <c r="C50" s="4"/>
      <c r="D50" s="29"/>
      <c r="E50" s="2" t="s">
        <v>67</v>
      </c>
      <c r="F50" s="4"/>
      <c r="G50" s="29"/>
      <c r="H50" s="2" t="s">
        <v>68</v>
      </c>
      <c r="I50" s="4"/>
      <c r="J50" s="29"/>
    </row>
    <row r="51" spans="2:10">
      <c r="B51" s="9"/>
      <c r="C51" s="10"/>
      <c r="D51" s="30">
        <f>D49/3</f>
        <v>34.722222222222221</v>
      </c>
      <c r="E51" s="8"/>
      <c r="F51" s="10"/>
      <c r="G51" s="30" t="s">
        <v>55</v>
      </c>
      <c r="H51" s="8" t="s">
        <v>69</v>
      </c>
      <c r="I51" s="10"/>
      <c r="J51" s="30">
        <f>SUM(J36:J49)</f>
        <v>0</v>
      </c>
    </row>
    <row r="52" spans="2:10">
      <c r="B52" s="3" t="s">
        <v>70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73</v>
      </c>
      <c r="C53" s="10"/>
      <c r="D53" s="30"/>
      <c r="E53" s="8"/>
      <c r="F53" s="10"/>
      <c r="G53" s="35">
        <f>G45+D51+D49+D41+D39</f>
        <v>743.31555555555565</v>
      </c>
      <c r="H53" s="8"/>
      <c r="I53" s="10"/>
      <c r="J53" s="30">
        <f>G53-J51</f>
        <v>743.31555555555565</v>
      </c>
    </row>
    <row r="54" spans="2:10" ht="8.25" customHeight="1">
      <c r="D54" s="36">
        <f>SUM(D36:D53)</f>
        <v>605.95555555555552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84513888888888899" bottom="2.9861111111111099E-2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4"/>
  <sheetViews>
    <sheetView zoomScaleNormal="100" workbookViewId="0">
      <selection activeCell="D7" sqref="D7"/>
    </sheetView>
  </sheetViews>
  <sheetFormatPr defaultColWidth="9.140625" defaultRowHeight="11.25" customHeight="1"/>
  <cols>
    <col min="1" max="1" width="7.5703125" style="1" customWidth="1"/>
    <col min="2" max="2" width="12" style="1" customWidth="1"/>
    <col min="3" max="3" width="10.28515625" style="1" customWidth="1"/>
    <col min="4" max="4" width="8.5703125" style="1" customWidth="1"/>
    <col min="5" max="5" width="9.42578125" style="1" customWidth="1"/>
    <col min="6" max="6" width="11" style="1" customWidth="1"/>
    <col min="7" max="7" width="8.7109375" style="1" customWidth="1"/>
    <col min="8" max="8" width="9.140625" style="1"/>
    <col min="9" max="9" width="8.7109375" style="1" customWidth="1"/>
    <col min="10" max="10" width="13" style="1" customWidth="1"/>
    <col min="11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1</v>
      </c>
      <c r="C5" s="4"/>
      <c r="D5" s="2" t="s">
        <v>2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90</v>
      </c>
      <c r="C7" s="13"/>
      <c r="D7" s="14" t="s">
        <v>91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B10" s="11" t="s">
        <v>92</v>
      </c>
      <c r="C10" s="12"/>
      <c r="D10" s="12"/>
      <c r="E10" s="12"/>
      <c r="H10" s="12"/>
      <c r="I10" s="14" t="s">
        <v>93</v>
      </c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 ht="12.6">
      <c r="B13" s="37" t="s">
        <v>94</v>
      </c>
      <c r="C13" s="12"/>
      <c r="D13" s="13"/>
      <c r="E13" s="16" t="s">
        <v>95</v>
      </c>
      <c r="F13" s="17" t="s">
        <v>96</v>
      </c>
      <c r="G13" s="13"/>
      <c r="H13" s="18">
        <v>1106566</v>
      </c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 t="s">
        <v>97</v>
      </c>
      <c r="C17" s="12"/>
      <c r="D17" s="14" t="s">
        <v>98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1" t="s">
        <v>99</v>
      </c>
      <c r="C20" s="12"/>
      <c r="D20" s="12"/>
      <c r="E20" s="12"/>
      <c r="H20" s="12"/>
      <c r="I20" s="12" t="s">
        <v>100</v>
      </c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 t="s">
        <v>101</v>
      </c>
      <c r="C23" s="12"/>
      <c r="D23" s="12"/>
      <c r="E23" s="16" t="s">
        <v>95</v>
      </c>
      <c r="F23" s="14" t="s">
        <v>102</v>
      </c>
      <c r="G23" s="13"/>
      <c r="H23" s="14" t="s">
        <v>103</v>
      </c>
      <c r="I23" s="12"/>
      <c r="J23" s="13"/>
    </row>
    <row r="24" spans="2:10">
      <c r="B24" s="3" t="s">
        <v>21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38" t="s">
        <v>104</v>
      </c>
      <c r="C26" s="12"/>
      <c r="D26" s="19">
        <v>30743</v>
      </c>
      <c r="E26" s="13"/>
      <c r="F26" s="39" t="s">
        <v>105</v>
      </c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2623.6</v>
      </c>
      <c r="D30" s="13"/>
      <c r="E30" s="22">
        <v>45770</v>
      </c>
      <c r="F30" s="23"/>
      <c r="G30" s="19">
        <v>45819</v>
      </c>
      <c r="H30" s="13"/>
      <c r="I30" s="19">
        <v>45819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4" s="11" customFormat="1" ht="12.6">
      <c r="B33" s="40" t="s">
        <v>106</v>
      </c>
      <c r="C33" s="12"/>
      <c r="D33" s="12"/>
      <c r="E33" s="14" t="s">
        <v>107</v>
      </c>
      <c r="F33" s="13"/>
      <c r="G33" s="12"/>
      <c r="H33" s="13"/>
      <c r="I33" s="14" t="s">
        <v>108</v>
      </c>
      <c r="J33" s="13"/>
    </row>
    <row r="34" spans="2:14" ht="8.25" customHeight="1"/>
    <row r="35" spans="2:14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4">
      <c r="B36" s="1" t="s">
        <v>36</v>
      </c>
      <c r="C36" s="7"/>
      <c r="D36" s="28"/>
      <c r="E36" s="5" t="s">
        <v>37</v>
      </c>
      <c r="F36" s="7"/>
      <c r="G36" s="28"/>
      <c r="H36" s="2" t="s">
        <v>38</v>
      </c>
      <c r="I36" s="4"/>
      <c r="J36" s="29"/>
    </row>
    <row r="37" spans="2:14">
      <c r="B37" s="12">
        <v>0</v>
      </c>
      <c r="C37" s="10" t="s">
        <v>109</v>
      </c>
      <c r="D37" s="30">
        <v>0</v>
      </c>
      <c r="E37" s="8"/>
      <c r="F37" s="10"/>
      <c r="G37" s="30">
        <v>0</v>
      </c>
      <c r="H37" s="8"/>
      <c r="I37" s="10"/>
      <c r="J37" s="30"/>
    </row>
    <row r="38" spans="2:14">
      <c r="B38" s="3" t="s">
        <v>39</v>
      </c>
      <c r="C38" s="4"/>
      <c r="D38" s="29"/>
      <c r="E38" s="1" t="s">
        <v>40</v>
      </c>
      <c r="G38" s="29"/>
      <c r="H38" s="2" t="s">
        <v>41</v>
      </c>
      <c r="I38" s="4"/>
      <c r="J38" s="29"/>
    </row>
    <row r="39" spans="2:14">
      <c r="B39" s="12"/>
      <c r="C39" s="10" t="s">
        <v>109</v>
      </c>
      <c r="D39" s="30">
        <v>0</v>
      </c>
      <c r="G39" s="30"/>
      <c r="H39" s="8" t="s">
        <v>110</v>
      </c>
      <c r="I39" s="10"/>
      <c r="J39" s="30"/>
    </row>
    <row r="40" spans="2:14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  <c r="N40" s="31"/>
    </row>
    <row r="41" spans="2:14">
      <c r="B41" s="12"/>
      <c r="C41" s="10" t="s">
        <v>111</v>
      </c>
      <c r="D41" s="30">
        <v>437.26</v>
      </c>
      <c r="E41" s="14"/>
      <c r="F41" s="10" t="s">
        <v>47</v>
      </c>
      <c r="G41" s="30"/>
      <c r="H41" s="8"/>
      <c r="I41" s="10"/>
      <c r="J41" s="30">
        <v>0</v>
      </c>
      <c r="N41" s="31"/>
    </row>
    <row r="42" spans="2:14">
      <c r="B42" s="3" t="s">
        <v>49</v>
      </c>
      <c r="C42" s="4"/>
      <c r="D42" s="29"/>
      <c r="E42" s="2" t="s">
        <v>50</v>
      </c>
      <c r="F42" s="4"/>
      <c r="G42" s="29"/>
      <c r="H42" s="2" t="s">
        <v>51</v>
      </c>
      <c r="I42" s="4"/>
      <c r="J42" s="29"/>
    </row>
    <row r="43" spans="2:14">
      <c r="B43" s="12">
        <v>0</v>
      </c>
      <c r="C43" s="10" t="s">
        <v>46</v>
      </c>
      <c r="D43" s="30">
        <v>0</v>
      </c>
      <c r="E43" s="14"/>
      <c r="F43" s="10" t="s">
        <v>47</v>
      </c>
      <c r="G43" s="30"/>
      <c r="H43" s="8"/>
      <c r="I43" s="10"/>
      <c r="J43" s="30"/>
    </row>
    <row r="44" spans="2:14">
      <c r="B44" s="3" t="s">
        <v>52</v>
      </c>
      <c r="C44" s="4"/>
      <c r="D44" s="29"/>
      <c r="E44" s="2" t="s">
        <v>53</v>
      </c>
      <c r="F44" s="32">
        <f>(D37+D41+D43)*8%</f>
        <v>34.980800000000002</v>
      </c>
      <c r="H44" s="2" t="s">
        <v>54</v>
      </c>
      <c r="I44" s="4"/>
      <c r="J44" s="29"/>
    </row>
    <row r="45" spans="2:14">
      <c r="B45" s="12"/>
      <c r="C45" s="10" t="s">
        <v>46</v>
      </c>
      <c r="D45" s="30" t="s">
        <v>55</v>
      </c>
      <c r="E45" s="14"/>
      <c r="F45" s="10" t="s">
        <v>56</v>
      </c>
      <c r="G45" s="30"/>
      <c r="H45" s="8"/>
      <c r="I45" s="10"/>
      <c r="J45" s="30"/>
    </row>
    <row r="46" spans="2:14">
      <c r="B46" s="3" t="s">
        <v>57</v>
      </c>
      <c r="C46" s="4"/>
      <c r="D46" s="29"/>
      <c r="E46" s="2" t="s">
        <v>58</v>
      </c>
      <c r="F46" s="4"/>
      <c r="H46" s="2" t="s">
        <v>59</v>
      </c>
      <c r="I46" s="4"/>
      <c r="J46" s="29"/>
    </row>
    <row r="47" spans="2:14">
      <c r="B47" s="12"/>
      <c r="C47" s="10"/>
      <c r="D47" s="30" t="s">
        <v>55</v>
      </c>
      <c r="E47" s="33">
        <v>0.4</v>
      </c>
      <c r="F47" s="10"/>
      <c r="G47" s="30"/>
      <c r="H47" s="8" t="s">
        <v>60</v>
      </c>
      <c r="I47" s="10"/>
      <c r="J47" s="30">
        <v>0</v>
      </c>
    </row>
    <row r="48" spans="2:14">
      <c r="B48" s="3" t="s">
        <v>61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112</v>
      </c>
      <c r="C49" s="10"/>
      <c r="D49" s="30">
        <v>437.26</v>
      </c>
      <c r="E49" s="8" t="s">
        <v>65</v>
      </c>
      <c r="F49" s="10"/>
      <c r="G49" s="30"/>
      <c r="H49" s="8"/>
      <c r="I49" s="10"/>
      <c r="J49" s="30">
        <v>0</v>
      </c>
    </row>
    <row r="50" spans="2:10">
      <c r="B50" s="3" t="s">
        <v>66</v>
      </c>
      <c r="C50" s="4"/>
      <c r="D50" s="29">
        <v>0</v>
      </c>
      <c r="E50" s="2" t="s">
        <v>67</v>
      </c>
      <c r="F50" s="4"/>
      <c r="G50" s="29"/>
      <c r="H50" s="2" t="s">
        <v>68</v>
      </c>
      <c r="I50" s="4"/>
      <c r="J50" s="29"/>
    </row>
    <row r="51" spans="2:10">
      <c r="B51" s="9"/>
      <c r="C51" s="10"/>
      <c r="D51" s="30">
        <v>145.75</v>
      </c>
      <c r="E51" s="8"/>
      <c r="F51" s="10"/>
      <c r="G51" s="30" t="s">
        <v>55</v>
      </c>
      <c r="H51" s="8" t="s">
        <v>69</v>
      </c>
      <c r="I51" s="10"/>
      <c r="J51" s="30">
        <f>SUM(J36:J49)</f>
        <v>0</v>
      </c>
    </row>
    <row r="52" spans="2:10">
      <c r="B52" s="3" t="s">
        <v>113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114</v>
      </c>
      <c r="C53" s="10"/>
      <c r="D53" s="30">
        <v>188.1</v>
      </c>
      <c r="E53" s="8"/>
      <c r="F53" s="10"/>
      <c r="G53" s="35">
        <f>D37+D39+D41+D43+D49+D51+D53+G37</f>
        <v>1208.3699999999999</v>
      </c>
      <c r="H53" s="8"/>
      <c r="I53" s="10"/>
      <c r="J53" s="30">
        <f>G53-J51</f>
        <v>1208.3699999999999</v>
      </c>
    </row>
    <row r="54" spans="2:10" ht="8.25" customHeight="1">
      <c r="D54" s="36">
        <f>SUM(D36:D53)</f>
        <v>1208.3699999999999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84513888888888899" bottom="2.9861111111111099E-2" header="0.511811023622047" footer="0.511811023622047"/>
  <pageSetup paperSize="9" scale="9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4"/>
  <sheetViews>
    <sheetView zoomScaleNormal="100" workbookViewId="0">
      <selection activeCell="B7" sqref="B7"/>
    </sheetView>
  </sheetViews>
  <sheetFormatPr defaultColWidth="9.140625" defaultRowHeight="11.25" customHeight="1"/>
  <cols>
    <col min="1" max="1" width="7.5703125" style="1" customWidth="1"/>
    <col min="2" max="2" width="12" style="1" customWidth="1"/>
    <col min="3" max="3" width="10.28515625" style="1" customWidth="1"/>
    <col min="4" max="4" width="8.5703125" style="1" customWidth="1"/>
    <col min="5" max="5" width="9.42578125" style="1" customWidth="1"/>
    <col min="6" max="6" width="11" style="1" customWidth="1"/>
    <col min="7" max="7" width="8.7109375" style="1" customWidth="1"/>
    <col min="8" max="8" width="9.140625" style="1"/>
    <col min="9" max="9" width="8.7109375" style="1" customWidth="1"/>
    <col min="10" max="10" width="9.28515625" style="1" customWidth="1"/>
    <col min="11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1</v>
      </c>
      <c r="C5" s="4"/>
      <c r="D5" s="2" t="s">
        <v>2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115</v>
      </c>
      <c r="C7" s="13"/>
      <c r="D7" s="14" t="s">
        <v>116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B10" s="11" t="s">
        <v>117</v>
      </c>
      <c r="C10" s="12"/>
      <c r="D10" s="12"/>
      <c r="E10" s="12"/>
      <c r="H10" s="12"/>
      <c r="I10" s="14" t="s">
        <v>118</v>
      </c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41" t="s">
        <v>119</v>
      </c>
      <c r="C13" s="12"/>
      <c r="D13" s="13"/>
      <c r="E13" s="16" t="s">
        <v>95</v>
      </c>
      <c r="F13" s="17" t="s">
        <v>120</v>
      </c>
      <c r="G13" s="13"/>
      <c r="H13" s="42" t="s">
        <v>121</v>
      </c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 t="s">
        <v>122</v>
      </c>
      <c r="C17" s="12"/>
      <c r="D17" s="14" t="s">
        <v>123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1" t="s">
        <v>124</v>
      </c>
      <c r="C20" s="12"/>
      <c r="D20" s="12"/>
      <c r="E20" s="12"/>
      <c r="H20" s="12"/>
      <c r="I20" s="12" t="s">
        <v>125</v>
      </c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 t="s">
        <v>126</v>
      </c>
      <c r="C23" s="12"/>
      <c r="D23" s="12"/>
      <c r="E23" s="16" t="s">
        <v>95</v>
      </c>
      <c r="F23" s="14" t="s">
        <v>127</v>
      </c>
      <c r="G23" s="13"/>
      <c r="H23" s="14" t="s">
        <v>128</v>
      </c>
      <c r="I23" s="12"/>
      <c r="J23" s="13"/>
    </row>
    <row r="24" spans="2:10">
      <c r="B24" s="3" t="s">
        <v>21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38" t="s">
        <v>129</v>
      </c>
      <c r="C26" s="12"/>
      <c r="D26" s="19">
        <v>28884</v>
      </c>
      <c r="E26" s="13"/>
      <c r="F26" s="39" t="s">
        <v>130</v>
      </c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596</v>
      </c>
      <c r="D30" s="13"/>
      <c r="E30" s="22">
        <v>45536</v>
      </c>
      <c r="F30" s="23"/>
      <c r="G30" s="19">
        <v>45870</v>
      </c>
      <c r="H30" s="13"/>
      <c r="I30" s="19">
        <v>45899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4" s="11" customFormat="1" ht="12.6">
      <c r="B33" s="40" t="s">
        <v>106</v>
      </c>
      <c r="C33" s="12"/>
      <c r="D33" s="12"/>
      <c r="E33" s="14" t="s">
        <v>107</v>
      </c>
      <c r="F33" s="13"/>
      <c r="G33" s="12"/>
      <c r="H33" s="13"/>
      <c r="I33" s="14" t="s">
        <v>108</v>
      </c>
      <c r="J33" s="13"/>
    </row>
    <row r="34" spans="2:14" ht="8.25" customHeight="1"/>
    <row r="35" spans="2:14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4">
      <c r="B36" s="1" t="s">
        <v>36</v>
      </c>
      <c r="C36" s="7"/>
      <c r="D36" s="28"/>
      <c r="E36" s="5" t="s">
        <v>37</v>
      </c>
      <c r="F36" s="7"/>
      <c r="G36" s="28"/>
      <c r="H36" s="2" t="s">
        <v>38</v>
      </c>
      <c r="I36" s="4"/>
      <c r="J36" s="29"/>
    </row>
    <row r="37" spans="2:14">
      <c r="B37" s="12"/>
      <c r="C37" s="10" t="s">
        <v>109</v>
      </c>
      <c r="D37" s="30"/>
      <c r="E37" s="8"/>
      <c r="F37" s="10">
        <v>0</v>
      </c>
      <c r="G37" s="30">
        <v>0</v>
      </c>
      <c r="H37" s="8"/>
      <c r="I37" s="10"/>
      <c r="J37" s="30"/>
    </row>
    <row r="38" spans="2:14">
      <c r="B38" s="3" t="s">
        <v>39</v>
      </c>
      <c r="C38" s="4"/>
      <c r="D38" s="29"/>
      <c r="E38" s="1" t="s">
        <v>40</v>
      </c>
      <c r="G38" s="29"/>
      <c r="H38" s="2" t="s">
        <v>41</v>
      </c>
      <c r="I38" s="4"/>
      <c r="J38" s="29"/>
    </row>
    <row r="39" spans="2:14">
      <c r="B39" s="12">
        <v>30</v>
      </c>
      <c r="C39" s="10" t="s">
        <v>109</v>
      </c>
      <c r="D39" s="30">
        <v>576.77</v>
      </c>
      <c r="G39" s="30"/>
      <c r="H39" s="8" t="s">
        <v>110</v>
      </c>
      <c r="I39" s="10"/>
      <c r="J39" s="30"/>
    </row>
    <row r="40" spans="2:14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  <c r="N40" s="31"/>
    </row>
    <row r="41" spans="2:14">
      <c r="B41" s="12"/>
      <c r="C41" s="10" t="s">
        <v>131</v>
      </c>
      <c r="D41" s="30">
        <v>446.99</v>
      </c>
      <c r="E41" s="14"/>
      <c r="F41" s="10" t="s">
        <v>47</v>
      </c>
      <c r="G41" s="30"/>
      <c r="H41" s="8"/>
      <c r="I41" s="10"/>
      <c r="J41" s="30">
        <v>0</v>
      </c>
      <c r="N41" s="31"/>
    </row>
    <row r="42" spans="2:14">
      <c r="B42" s="3" t="s">
        <v>49</v>
      </c>
      <c r="C42" s="4"/>
      <c r="D42" s="29"/>
      <c r="E42" s="2" t="s">
        <v>50</v>
      </c>
      <c r="F42" s="4"/>
      <c r="G42" s="29"/>
      <c r="H42" s="2" t="s">
        <v>51</v>
      </c>
      <c r="I42" s="4"/>
      <c r="J42" s="29"/>
    </row>
    <row r="43" spans="2:14">
      <c r="B43" s="12">
        <v>0</v>
      </c>
      <c r="C43" s="10" t="s">
        <v>46</v>
      </c>
      <c r="D43" s="30">
        <v>0</v>
      </c>
      <c r="E43" s="14"/>
      <c r="F43" s="10" t="s">
        <v>47</v>
      </c>
      <c r="G43" s="30"/>
      <c r="H43" s="8"/>
      <c r="I43" s="10"/>
      <c r="J43" s="30"/>
    </row>
    <row r="44" spans="2:14">
      <c r="B44" s="3" t="s">
        <v>52</v>
      </c>
      <c r="C44" s="4"/>
      <c r="D44" s="29"/>
      <c r="E44" s="2" t="s">
        <v>53</v>
      </c>
      <c r="F44" s="32">
        <f>(D37+D41+D43)*8%</f>
        <v>35.7592</v>
      </c>
      <c r="H44" s="2" t="s">
        <v>54</v>
      </c>
      <c r="I44" s="4"/>
      <c r="J44" s="29"/>
    </row>
    <row r="45" spans="2:14">
      <c r="B45" s="12"/>
      <c r="C45" s="10" t="s">
        <v>46</v>
      </c>
      <c r="D45" s="30" t="s">
        <v>55</v>
      </c>
      <c r="E45" s="14"/>
      <c r="F45" s="10" t="s">
        <v>56</v>
      </c>
      <c r="G45" s="30"/>
      <c r="H45" s="8"/>
      <c r="I45" s="10"/>
      <c r="J45" s="30"/>
    </row>
    <row r="46" spans="2:14">
      <c r="B46" s="3" t="s">
        <v>57</v>
      </c>
      <c r="C46" s="4"/>
      <c r="D46" s="29"/>
      <c r="E46" s="2" t="s">
        <v>58</v>
      </c>
      <c r="F46" s="4"/>
      <c r="H46" s="2" t="s">
        <v>59</v>
      </c>
      <c r="I46" s="4"/>
      <c r="J46" s="29"/>
    </row>
    <row r="47" spans="2:14">
      <c r="B47" s="12"/>
      <c r="C47" s="10"/>
      <c r="D47" s="30" t="s">
        <v>55</v>
      </c>
      <c r="E47" s="33">
        <v>0.4</v>
      </c>
      <c r="F47" s="10"/>
      <c r="G47" s="30"/>
      <c r="H47" s="8" t="s">
        <v>60</v>
      </c>
      <c r="I47" s="10"/>
      <c r="J47" s="30">
        <v>0</v>
      </c>
    </row>
    <row r="48" spans="2:14">
      <c r="B48" s="3" t="s">
        <v>61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132</v>
      </c>
      <c r="C49" s="10"/>
      <c r="D49" s="30">
        <v>596</v>
      </c>
      <c r="E49" s="8" t="s">
        <v>65</v>
      </c>
      <c r="F49" s="10"/>
      <c r="G49" s="30"/>
      <c r="H49" s="8"/>
      <c r="I49" s="10"/>
      <c r="J49" s="30">
        <v>0</v>
      </c>
    </row>
    <row r="50" spans="2:10">
      <c r="B50" s="3" t="s">
        <v>66</v>
      </c>
      <c r="C50" s="4"/>
      <c r="D50" s="29">
        <v>0</v>
      </c>
      <c r="E50" s="2" t="s">
        <v>67</v>
      </c>
      <c r="F50" s="4"/>
      <c r="G50" s="29"/>
      <c r="H50" s="2" t="s">
        <v>68</v>
      </c>
      <c r="I50" s="4"/>
      <c r="J50" s="29"/>
    </row>
    <row r="51" spans="2:10">
      <c r="B51" s="9"/>
      <c r="C51" s="10"/>
      <c r="D51" s="30">
        <v>198.66</v>
      </c>
      <c r="E51" s="8"/>
      <c r="F51" s="10"/>
      <c r="G51" s="30" t="s">
        <v>55</v>
      </c>
      <c r="H51" s="8" t="s">
        <v>69</v>
      </c>
      <c r="I51" s="10"/>
      <c r="J51" s="30">
        <f>SUM(J36:J49)</f>
        <v>0</v>
      </c>
    </row>
    <row r="52" spans="2:10">
      <c r="B52" s="3" t="s">
        <v>113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133</v>
      </c>
      <c r="C53" s="10"/>
      <c r="D53" s="30">
        <v>0</v>
      </c>
      <c r="E53" s="8"/>
      <c r="F53" s="10"/>
      <c r="G53" s="35">
        <f>D37+D39+D41+D43+D49+D51+D53+G37</f>
        <v>1818.42</v>
      </c>
      <c r="H53" s="8"/>
      <c r="I53" s="10"/>
      <c r="J53" s="30">
        <f>G53-J51</f>
        <v>1818.42</v>
      </c>
    </row>
    <row r="54" spans="2:10" ht="8.25" customHeight="1">
      <c r="D54" s="36">
        <f>SUM(D36:D53)</f>
        <v>1818.42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84513888888888899" bottom="2.9861111111111099E-2" header="0.511811023622047" footer="0.511811023622047"/>
  <pageSetup paperSize="9" scale="94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4"/>
  <sheetViews>
    <sheetView zoomScaleNormal="100" workbookViewId="0">
      <selection activeCell="P45" sqref="P45"/>
    </sheetView>
  </sheetViews>
  <sheetFormatPr defaultColWidth="9.140625" defaultRowHeight="11.25" customHeight="1"/>
  <cols>
    <col min="1" max="1" width="7.5703125" style="1" customWidth="1"/>
    <col min="2" max="2" width="12" style="1" customWidth="1"/>
    <col min="3" max="3" width="10.28515625" style="1" customWidth="1"/>
    <col min="4" max="4" width="8.5703125" style="1" customWidth="1"/>
    <col min="5" max="5" width="9.42578125" style="1" customWidth="1"/>
    <col min="6" max="6" width="11" style="1" customWidth="1"/>
    <col min="7" max="7" width="8.7109375" style="1" customWidth="1"/>
    <col min="8" max="8" width="9.140625" style="1"/>
    <col min="9" max="9" width="8.7109375" style="1" customWidth="1"/>
    <col min="10" max="10" width="9.28515625" style="1" customWidth="1"/>
    <col min="11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 t="s">
        <v>134</v>
      </c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1</v>
      </c>
      <c r="C5" s="4"/>
      <c r="D5" s="2" t="s">
        <v>2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 ht="12.6">
      <c r="B7" s="12" t="s">
        <v>135</v>
      </c>
      <c r="C7" s="13"/>
      <c r="D7" s="43" t="s">
        <v>136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B10" s="11" t="s">
        <v>137</v>
      </c>
      <c r="C10" s="12"/>
      <c r="D10" s="12"/>
      <c r="E10" s="12"/>
      <c r="H10" s="12"/>
      <c r="I10" s="14" t="s">
        <v>138</v>
      </c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139</v>
      </c>
      <c r="C13" s="12"/>
      <c r="D13" s="13"/>
      <c r="E13" s="16" t="s">
        <v>140</v>
      </c>
      <c r="F13" s="17"/>
      <c r="G13" s="13"/>
      <c r="H13" s="42"/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 ht="11.45">
      <c r="B17" s="41"/>
      <c r="C17" s="12"/>
      <c r="D17" s="41" t="s">
        <v>141</v>
      </c>
      <c r="E17" s="44"/>
      <c r="F17" s="44"/>
      <c r="G17" s="44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1" t="s">
        <v>142</v>
      </c>
      <c r="C20" s="12"/>
      <c r="D20" s="12"/>
      <c r="E20" s="12"/>
      <c r="H20" s="12"/>
      <c r="I20" s="11" t="s">
        <v>143</v>
      </c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1" t="s">
        <v>144</v>
      </c>
      <c r="C23" s="12"/>
      <c r="D23" s="12"/>
      <c r="E23" s="16" t="s">
        <v>145</v>
      </c>
      <c r="F23" s="14" t="s">
        <v>146</v>
      </c>
      <c r="G23" s="13"/>
      <c r="H23" s="14" t="s">
        <v>147</v>
      </c>
      <c r="I23" s="12"/>
      <c r="J23" s="13"/>
    </row>
    <row r="24" spans="2:10">
      <c r="B24" s="3" t="s">
        <v>21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 ht="12.6">
      <c r="B26" s="43" t="s">
        <v>148</v>
      </c>
      <c r="C26" s="12"/>
      <c r="D26" s="19">
        <v>34575</v>
      </c>
      <c r="E26" s="13"/>
      <c r="F26" s="43" t="s">
        <v>149</v>
      </c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1800</v>
      </c>
      <c r="D30" s="13"/>
      <c r="E30" s="22">
        <v>45813</v>
      </c>
      <c r="F30" s="23"/>
      <c r="G30" s="19">
        <v>45842</v>
      </c>
      <c r="H30" s="13"/>
      <c r="I30" s="19">
        <v>45842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4" s="11" customFormat="1" ht="12.6">
      <c r="B33" s="40" t="s">
        <v>150</v>
      </c>
      <c r="C33" s="12"/>
      <c r="D33" s="12"/>
      <c r="E33" s="14" t="s">
        <v>151</v>
      </c>
      <c r="F33" s="13"/>
      <c r="G33" s="12"/>
      <c r="H33" s="13"/>
      <c r="I33" s="14"/>
      <c r="J33" s="13"/>
    </row>
    <row r="34" spans="2:14" ht="8.25" customHeight="1"/>
    <row r="35" spans="2:14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4">
      <c r="B36" s="1" t="s">
        <v>36</v>
      </c>
      <c r="C36" s="7"/>
      <c r="D36" s="28"/>
      <c r="E36" s="5" t="s">
        <v>37</v>
      </c>
      <c r="F36" s="7"/>
      <c r="G36" s="28"/>
      <c r="H36" s="2" t="s">
        <v>38</v>
      </c>
      <c r="I36" s="4"/>
      <c r="J36" s="29"/>
    </row>
    <row r="37" spans="2:14">
      <c r="B37" s="12"/>
      <c r="C37" s="10" t="s">
        <v>152</v>
      </c>
      <c r="D37" s="30">
        <v>0</v>
      </c>
      <c r="E37" s="8"/>
      <c r="F37" s="10"/>
      <c r="G37" s="30"/>
      <c r="H37" s="8"/>
      <c r="I37" s="10"/>
      <c r="J37" s="30"/>
    </row>
    <row r="38" spans="2:14">
      <c r="B38" s="3" t="s">
        <v>39</v>
      </c>
      <c r="C38" s="4"/>
      <c r="D38" s="29"/>
      <c r="E38" s="1" t="s">
        <v>40</v>
      </c>
      <c r="G38" s="29"/>
      <c r="H38" s="2" t="s">
        <v>41</v>
      </c>
      <c r="I38" s="4"/>
      <c r="J38" s="29"/>
    </row>
    <row r="39" spans="2:14">
      <c r="B39" s="12">
        <v>0</v>
      </c>
      <c r="C39" s="10" t="s">
        <v>109</v>
      </c>
      <c r="D39" s="30">
        <v>0</v>
      </c>
      <c r="G39" s="30"/>
      <c r="H39" s="8" t="s">
        <v>110</v>
      </c>
      <c r="I39" s="10"/>
      <c r="J39" s="30"/>
    </row>
    <row r="40" spans="2:14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  <c r="N40" s="31"/>
    </row>
    <row r="41" spans="2:14">
      <c r="B41" s="12"/>
      <c r="C41" s="10" t="s">
        <v>153</v>
      </c>
      <c r="D41" s="30">
        <v>150</v>
      </c>
      <c r="E41" s="14"/>
      <c r="F41" s="10" t="s">
        <v>47</v>
      </c>
      <c r="G41" s="30"/>
      <c r="H41" s="8"/>
      <c r="I41" s="10"/>
      <c r="J41" s="30"/>
      <c r="N41" s="31"/>
    </row>
    <row r="42" spans="2:14">
      <c r="B42" s="3" t="s">
        <v>49</v>
      </c>
      <c r="C42" s="4"/>
      <c r="D42" s="29"/>
      <c r="E42" s="2" t="s">
        <v>50</v>
      </c>
      <c r="F42" s="4"/>
      <c r="G42" s="29"/>
      <c r="H42" s="2" t="s">
        <v>51</v>
      </c>
      <c r="I42" s="4"/>
      <c r="J42" s="29"/>
    </row>
    <row r="43" spans="2:14">
      <c r="B43" s="12"/>
      <c r="C43" s="10" t="s">
        <v>46</v>
      </c>
      <c r="D43" s="30"/>
      <c r="E43" s="14"/>
      <c r="F43" s="10" t="s">
        <v>47</v>
      </c>
      <c r="G43" s="30"/>
      <c r="H43" s="8"/>
      <c r="I43" s="10"/>
      <c r="J43" s="30"/>
    </row>
    <row r="44" spans="2:14">
      <c r="B44" s="3" t="s">
        <v>52</v>
      </c>
      <c r="C44" s="4"/>
      <c r="D44" s="29"/>
      <c r="E44" s="2" t="s">
        <v>154</v>
      </c>
      <c r="F44" s="32"/>
      <c r="H44" s="2" t="s">
        <v>54</v>
      </c>
      <c r="I44" s="4"/>
      <c r="J44" s="29"/>
    </row>
    <row r="45" spans="2:14">
      <c r="B45" s="12"/>
      <c r="C45" s="10" t="s">
        <v>46</v>
      </c>
      <c r="D45" s="30">
        <v>0</v>
      </c>
      <c r="E45" s="14"/>
      <c r="F45" s="45"/>
      <c r="G45" s="45"/>
      <c r="H45" s="8"/>
      <c r="I45" s="10"/>
      <c r="J45" s="30"/>
    </row>
    <row r="46" spans="2:14">
      <c r="B46" s="3" t="s">
        <v>57</v>
      </c>
      <c r="C46" s="4"/>
      <c r="D46" s="29"/>
      <c r="E46" s="2" t="s">
        <v>58</v>
      </c>
      <c r="F46" s="4"/>
      <c r="H46" s="2" t="s">
        <v>59</v>
      </c>
      <c r="I46" s="4"/>
      <c r="J46" s="29"/>
    </row>
    <row r="47" spans="2:14">
      <c r="B47" s="12"/>
      <c r="C47" s="10"/>
      <c r="D47" s="30" t="s">
        <v>55</v>
      </c>
      <c r="E47" s="33">
        <v>0.4</v>
      </c>
      <c r="F47" s="10"/>
      <c r="G47" s="30"/>
      <c r="H47" s="8" t="s">
        <v>60</v>
      </c>
      <c r="I47" s="10"/>
      <c r="J47" s="30">
        <v>0</v>
      </c>
    </row>
    <row r="48" spans="2:14">
      <c r="B48" s="3" t="s">
        <v>61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64</v>
      </c>
      <c r="C49" s="10"/>
      <c r="D49" s="30">
        <v>150</v>
      </c>
      <c r="E49" s="8" t="s">
        <v>65</v>
      </c>
      <c r="F49" s="10"/>
      <c r="G49" s="30"/>
      <c r="H49" s="8"/>
      <c r="I49" s="10"/>
      <c r="J49" s="30">
        <v>0</v>
      </c>
    </row>
    <row r="50" spans="2:10">
      <c r="B50" s="3" t="s">
        <v>66</v>
      </c>
      <c r="C50" s="4"/>
      <c r="D50" s="29"/>
      <c r="E50" s="2" t="s">
        <v>67</v>
      </c>
      <c r="F50" s="4"/>
      <c r="G50" s="29"/>
      <c r="H50" s="2" t="s">
        <v>68</v>
      </c>
      <c r="I50" s="4"/>
      <c r="J50" s="29"/>
    </row>
    <row r="51" spans="2:10">
      <c r="B51" s="9"/>
      <c r="C51" s="10"/>
      <c r="D51" s="30">
        <v>50</v>
      </c>
      <c r="E51" s="8"/>
      <c r="F51" s="10"/>
      <c r="G51" s="30" t="s">
        <v>55</v>
      </c>
      <c r="H51" s="8" t="s">
        <v>69</v>
      </c>
      <c r="I51" s="10"/>
      <c r="J51" s="30">
        <f>SUM(J36:J49)</f>
        <v>0</v>
      </c>
    </row>
    <row r="52" spans="2:10">
      <c r="B52" s="3" t="s">
        <v>155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/>
      <c r="C53" s="10"/>
      <c r="D53" s="30"/>
      <c r="E53" s="8"/>
      <c r="F53" s="10"/>
      <c r="G53" s="35">
        <f>D41+D49+D51+G47+G49</f>
        <v>350</v>
      </c>
      <c r="H53" s="8"/>
      <c r="I53" s="10"/>
      <c r="J53" s="30">
        <f>G53-J51</f>
        <v>350</v>
      </c>
    </row>
    <row r="54" spans="2:10" ht="8.25" customHeight="1">
      <c r="D54" s="36">
        <f>SUM(D36:D53)</f>
        <v>350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84513888888888899" bottom="2.9861111111111099E-2" header="0.511811023622047" footer="0.511811023622047"/>
  <pageSetup paperSize="9" scale="94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4"/>
  <sheetViews>
    <sheetView zoomScaleNormal="100" workbookViewId="0">
      <selection activeCell="G53" sqref="G53"/>
    </sheetView>
  </sheetViews>
  <sheetFormatPr defaultColWidth="9.140625" defaultRowHeight="11.25" customHeight="1"/>
  <cols>
    <col min="1" max="1" width="7.5703125" style="1" customWidth="1"/>
    <col min="2" max="2" width="12" style="1" customWidth="1"/>
    <col min="3" max="3" width="10.28515625" style="1" customWidth="1"/>
    <col min="4" max="4" width="8.5703125" style="1" customWidth="1"/>
    <col min="5" max="5" width="9.42578125" style="1" customWidth="1"/>
    <col min="6" max="6" width="11" style="1" customWidth="1"/>
    <col min="7" max="7" width="8.7109375" style="1" customWidth="1"/>
    <col min="8" max="8" width="9.140625" style="1"/>
    <col min="9" max="9" width="8.7109375" style="1" customWidth="1"/>
    <col min="10" max="10" width="9.28515625" style="1" customWidth="1"/>
    <col min="11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1</v>
      </c>
      <c r="C5" s="4"/>
      <c r="D5" s="2" t="s">
        <v>2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156</v>
      </c>
      <c r="C7" s="13"/>
      <c r="D7" s="14" t="s">
        <v>157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B10" s="11" t="s">
        <v>158</v>
      </c>
      <c r="C10" s="12"/>
      <c r="D10" s="12"/>
      <c r="E10" s="12"/>
      <c r="H10" s="12"/>
      <c r="I10" s="14" t="s">
        <v>159</v>
      </c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160</v>
      </c>
      <c r="C13" s="12"/>
      <c r="D13" s="13"/>
      <c r="E13" s="16" t="s">
        <v>161</v>
      </c>
      <c r="F13" s="17" t="s">
        <v>162</v>
      </c>
      <c r="G13" s="13"/>
      <c r="H13" s="18" t="s">
        <v>163</v>
      </c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/>
      <c r="C17" s="12"/>
      <c r="D17" s="14" t="s">
        <v>164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C20" s="12"/>
      <c r="D20" s="12"/>
      <c r="E20" s="12"/>
      <c r="H20" s="12"/>
      <c r="I20" s="12"/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/>
      <c r="C23" s="12"/>
      <c r="D23" s="12"/>
      <c r="E23" s="16"/>
      <c r="F23" s="14"/>
      <c r="G23" s="13"/>
      <c r="H23" s="14"/>
      <c r="I23" s="12"/>
      <c r="J23" s="13"/>
    </row>
    <row r="24" spans="2:10">
      <c r="B24" s="3" t="s">
        <v>21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38" t="s">
        <v>165</v>
      </c>
      <c r="C26" s="12"/>
      <c r="D26" s="19"/>
      <c r="E26" s="13"/>
      <c r="F26" s="39"/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1000</v>
      </c>
      <c r="D30" s="13"/>
      <c r="E30" s="22">
        <v>45870</v>
      </c>
      <c r="F30" s="23"/>
      <c r="G30" s="19">
        <v>46234</v>
      </c>
      <c r="H30" s="13"/>
      <c r="I30" s="19">
        <v>46234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4" s="11" customFormat="1" ht="12.6">
      <c r="B33" s="40" t="s">
        <v>166</v>
      </c>
      <c r="C33" s="12"/>
      <c r="D33" s="12"/>
      <c r="E33" s="14" t="s">
        <v>107</v>
      </c>
      <c r="F33" s="13"/>
      <c r="G33" s="12"/>
      <c r="H33" s="13"/>
      <c r="I33" s="14"/>
      <c r="J33" s="13"/>
    </row>
    <row r="34" spans="2:14" ht="8.25" customHeight="1"/>
    <row r="35" spans="2:14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4">
      <c r="B36" s="1" t="s">
        <v>36</v>
      </c>
      <c r="C36" s="7"/>
      <c r="D36" s="28"/>
      <c r="E36" s="5" t="s">
        <v>37</v>
      </c>
      <c r="F36" s="7"/>
      <c r="G36" s="28"/>
      <c r="H36" s="2" t="s">
        <v>38</v>
      </c>
      <c r="I36" s="4"/>
      <c r="J36" s="29"/>
    </row>
    <row r="37" spans="2:14">
      <c r="B37" s="12"/>
      <c r="C37" s="10" t="s">
        <v>109</v>
      </c>
      <c r="D37" s="30">
        <v>0</v>
      </c>
      <c r="E37" s="8"/>
      <c r="F37" s="10"/>
      <c r="G37" s="30">
        <v>27.77</v>
      </c>
      <c r="H37" s="8"/>
      <c r="I37" s="10"/>
      <c r="J37" s="30"/>
    </row>
    <row r="38" spans="2:14">
      <c r="B38" s="3" t="s">
        <v>39</v>
      </c>
      <c r="C38" s="4"/>
      <c r="D38" s="29"/>
      <c r="E38" s="1" t="s">
        <v>40</v>
      </c>
      <c r="G38" s="29"/>
      <c r="H38" s="2" t="s">
        <v>41</v>
      </c>
      <c r="I38" s="4"/>
      <c r="J38" s="29"/>
    </row>
    <row r="39" spans="2:14">
      <c r="B39" s="12">
        <v>0</v>
      </c>
      <c r="C39" s="10" t="s">
        <v>109</v>
      </c>
      <c r="D39" s="30"/>
      <c r="G39" s="30"/>
      <c r="I39" s="10"/>
      <c r="J39" s="30">
        <v>0</v>
      </c>
    </row>
    <row r="40" spans="2:14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  <c r="N40" s="31"/>
    </row>
    <row r="41" spans="2:14">
      <c r="B41" s="12"/>
      <c r="C41" s="10" t="s">
        <v>167</v>
      </c>
      <c r="D41" s="30">
        <v>583.33000000000004</v>
      </c>
      <c r="E41" s="14"/>
      <c r="F41" s="10" t="s">
        <v>47</v>
      </c>
      <c r="G41" s="30"/>
      <c r="H41" s="8" t="s">
        <v>168</v>
      </c>
      <c r="I41" s="10"/>
      <c r="J41" s="30">
        <v>0</v>
      </c>
      <c r="N41" s="31"/>
    </row>
    <row r="42" spans="2:14">
      <c r="B42" s="3" t="s">
        <v>49</v>
      </c>
      <c r="C42" s="4"/>
      <c r="D42" s="29"/>
      <c r="E42" s="2" t="s">
        <v>50</v>
      </c>
      <c r="F42" s="4"/>
      <c r="G42" s="29"/>
      <c r="H42" s="2" t="s">
        <v>51</v>
      </c>
      <c r="I42" s="4"/>
      <c r="J42" s="29"/>
    </row>
    <row r="43" spans="2:14">
      <c r="B43" s="12">
        <v>1</v>
      </c>
      <c r="C43" s="10" t="s">
        <v>46</v>
      </c>
      <c r="D43" s="30">
        <v>83.33</v>
      </c>
      <c r="E43" s="14"/>
      <c r="F43" s="10" t="s">
        <v>47</v>
      </c>
      <c r="G43" s="30"/>
      <c r="H43" s="8"/>
      <c r="I43" s="10"/>
      <c r="J43" s="30"/>
    </row>
    <row r="44" spans="2:14">
      <c r="B44" s="3" t="s">
        <v>52</v>
      </c>
      <c r="C44" s="4"/>
      <c r="D44" s="29"/>
      <c r="E44" s="2" t="s">
        <v>53</v>
      </c>
      <c r="F44" s="32">
        <f>(D37+D41+D43)*8%</f>
        <v>53.332800000000006</v>
      </c>
      <c r="H44" s="2" t="s">
        <v>54</v>
      </c>
      <c r="I44" s="4"/>
      <c r="J44" s="29"/>
    </row>
    <row r="45" spans="2:14">
      <c r="B45" s="12"/>
      <c r="C45" s="10" t="s">
        <v>46</v>
      </c>
      <c r="D45" s="30" t="s">
        <v>55</v>
      </c>
      <c r="E45" s="14">
        <v>0</v>
      </c>
      <c r="F45" s="10" t="s">
        <v>56</v>
      </c>
      <c r="G45" s="30">
        <v>0</v>
      </c>
      <c r="H45" s="8"/>
      <c r="I45" s="10"/>
      <c r="J45" s="30"/>
    </row>
    <row r="46" spans="2:14">
      <c r="B46" s="3" t="s">
        <v>57</v>
      </c>
      <c r="C46" s="4"/>
      <c r="D46" s="29"/>
      <c r="E46" s="2" t="s">
        <v>58</v>
      </c>
      <c r="F46" s="4"/>
      <c r="H46" s="2" t="s">
        <v>59</v>
      </c>
      <c r="I46" s="4"/>
      <c r="J46" s="29"/>
    </row>
    <row r="47" spans="2:14">
      <c r="B47" s="12"/>
      <c r="C47" s="10"/>
      <c r="D47" s="30" t="s">
        <v>55</v>
      </c>
      <c r="E47" s="33">
        <v>0.4</v>
      </c>
      <c r="F47" s="10"/>
      <c r="G47" s="30">
        <v>0</v>
      </c>
      <c r="H47" s="8" t="s">
        <v>60</v>
      </c>
      <c r="I47" s="10"/>
      <c r="J47" s="30">
        <v>0</v>
      </c>
    </row>
    <row r="48" spans="2:14">
      <c r="B48" s="3" t="s">
        <v>61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C49" s="46" t="s">
        <v>169</v>
      </c>
      <c r="D49" s="30">
        <v>916.66</v>
      </c>
      <c r="E49" s="8"/>
      <c r="F49" s="10"/>
      <c r="G49" s="30"/>
      <c r="H49" s="8"/>
      <c r="I49" s="10"/>
      <c r="J49" s="30">
        <v>0</v>
      </c>
    </row>
    <row r="50" spans="2:10">
      <c r="B50" s="3" t="s">
        <v>66</v>
      </c>
      <c r="C50" s="4"/>
      <c r="D50" s="29"/>
      <c r="E50" s="2" t="s">
        <v>67</v>
      </c>
      <c r="F50" s="4"/>
      <c r="G50" s="29"/>
      <c r="H50" s="2" t="s">
        <v>68</v>
      </c>
      <c r="I50" s="4"/>
      <c r="J50" s="29"/>
    </row>
    <row r="51" spans="2:10">
      <c r="B51" s="9"/>
      <c r="C51" s="10"/>
      <c r="D51" s="30">
        <v>305.55</v>
      </c>
      <c r="E51" s="8"/>
      <c r="F51" s="10"/>
      <c r="G51" s="30" t="s">
        <v>55</v>
      </c>
      <c r="H51" s="8" t="s">
        <v>69</v>
      </c>
      <c r="I51" s="10"/>
      <c r="J51" s="30">
        <f>SUM(J36:J49)</f>
        <v>0</v>
      </c>
    </row>
    <row r="52" spans="2:10">
      <c r="B52" s="3" t="s">
        <v>70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170</v>
      </c>
      <c r="C53" s="10"/>
      <c r="D53" s="30">
        <v>83.33</v>
      </c>
      <c r="E53" s="8"/>
      <c r="F53" s="10"/>
      <c r="G53" s="35">
        <f>D37+D39+D41+D43+D49+D51+D53+G37+G45+G49+G47</f>
        <v>1999.97</v>
      </c>
      <c r="H53" s="8"/>
      <c r="I53" s="10"/>
      <c r="J53" s="30">
        <f>G53-J51</f>
        <v>1999.97</v>
      </c>
    </row>
    <row r="54" spans="2:10" ht="8.25" customHeight="1">
      <c r="D54" s="36">
        <f>SUM(D36:D53)</f>
        <v>1972.2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84513888888888899" bottom="2.9861111111111099E-2" header="0.511811023622047" footer="0.511811023622047"/>
  <pageSetup paperSize="9" scale="94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4"/>
  <sheetViews>
    <sheetView zoomScaleNormal="100" workbookViewId="0">
      <selection activeCell="M16" sqref="M16"/>
    </sheetView>
  </sheetViews>
  <sheetFormatPr defaultColWidth="9.140625" defaultRowHeight="11.25" customHeight="1"/>
  <cols>
    <col min="1" max="1" width="7.5703125" style="1" customWidth="1"/>
    <col min="2" max="2" width="12" style="1" customWidth="1"/>
    <col min="3" max="3" width="10.28515625" style="1" customWidth="1"/>
    <col min="4" max="4" width="8.5703125" style="1" customWidth="1"/>
    <col min="5" max="5" width="9.42578125" style="1" customWidth="1"/>
    <col min="6" max="6" width="11" style="1" customWidth="1"/>
    <col min="7" max="7" width="8.7109375" style="1" customWidth="1"/>
    <col min="8" max="8" width="9.140625" style="1"/>
    <col min="9" max="9" width="8.7109375" style="1" customWidth="1"/>
    <col min="10" max="10" width="9.28515625" style="1" customWidth="1"/>
    <col min="11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1</v>
      </c>
      <c r="C5" s="4"/>
      <c r="D5" s="2" t="s">
        <v>2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171</v>
      </c>
      <c r="C7" s="13"/>
      <c r="D7" s="14" t="s">
        <v>172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B10" s="11" t="s">
        <v>173</v>
      </c>
      <c r="C10" s="12"/>
      <c r="D10" s="12"/>
      <c r="E10" s="12"/>
      <c r="H10" s="12"/>
      <c r="I10" s="14" t="s">
        <v>174</v>
      </c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175</v>
      </c>
      <c r="C13" s="12"/>
      <c r="D13" s="13"/>
      <c r="E13" s="16" t="s">
        <v>176</v>
      </c>
      <c r="F13" s="17"/>
      <c r="G13" s="13"/>
      <c r="H13" s="18" t="s">
        <v>177</v>
      </c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/>
      <c r="C17" s="12"/>
      <c r="D17" s="41" t="s">
        <v>178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C20" s="12"/>
      <c r="D20" s="12"/>
      <c r="E20" s="12"/>
      <c r="H20" s="12"/>
      <c r="I20" s="12"/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/>
      <c r="C23" s="12"/>
      <c r="D23" s="12"/>
      <c r="E23" s="16"/>
      <c r="F23" s="14"/>
      <c r="G23" s="13"/>
      <c r="H23" s="14"/>
      <c r="I23" s="12"/>
      <c r="J23" s="13"/>
    </row>
    <row r="24" spans="2:10">
      <c r="B24" s="3" t="s">
        <v>21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38"/>
      <c r="C26" s="12"/>
      <c r="D26" s="19"/>
      <c r="E26" s="13"/>
      <c r="F26" s="39"/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1518</v>
      </c>
      <c r="D30" s="13"/>
      <c r="E30" s="22">
        <v>45544</v>
      </c>
      <c r="F30" s="23"/>
      <c r="G30" s="19"/>
      <c r="H30" s="13"/>
      <c r="I30" s="19">
        <v>45688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4" s="11" customFormat="1" ht="12.6">
      <c r="B33" s="40" t="s">
        <v>166</v>
      </c>
      <c r="C33" s="12"/>
      <c r="D33" s="12"/>
      <c r="E33" s="14" t="s">
        <v>107</v>
      </c>
      <c r="F33" s="13"/>
      <c r="G33" s="12"/>
      <c r="H33" s="13"/>
      <c r="I33" s="14"/>
      <c r="J33" s="13"/>
    </row>
    <row r="34" spans="2:14" ht="8.25" customHeight="1"/>
    <row r="35" spans="2:14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4">
      <c r="B36" s="1" t="s">
        <v>36</v>
      </c>
      <c r="C36" s="7"/>
      <c r="D36" s="28"/>
      <c r="E36" s="5" t="s">
        <v>37</v>
      </c>
      <c r="F36" s="7"/>
      <c r="G36" s="28"/>
      <c r="H36" s="2" t="s">
        <v>38</v>
      </c>
      <c r="I36" s="4"/>
      <c r="J36" s="29"/>
    </row>
    <row r="37" spans="2:14">
      <c r="B37" s="12">
        <v>30</v>
      </c>
      <c r="C37" s="10" t="s">
        <v>109</v>
      </c>
      <c r="D37" s="30">
        <v>1518</v>
      </c>
      <c r="E37" s="8"/>
      <c r="F37" s="10"/>
      <c r="G37" s="30">
        <f>D53/3</f>
        <v>42.166666666666664</v>
      </c>
      <c r="H37" s="8"/>
      <c r="I37" s="10"/>
      <c r="J37" s="30"/>
    </row>
    <row r="38" spans="2:14">
      <c r="B38" s="3" t="s">
        <v>39</v>
      </c>
      <c r="C38" s="4"/>
      <c r="D38" s="29"/>
      <c r="E38" s="1" t="s">
        <v>40</v>
      </c>
      <c r="G38" s="29"/>
      <c r="H38" s="2" t="s">
        <v>41</v>
      </c>
      <c r="I38" s="4"/>
      <c r="J38" s="29"/>
    </row>
    <row r="39" spans="2:14">
      <c r="B39" s="12">
        <v>31</v>
      </c>
      <c r="C39" s="10" t="s">
        <v>109</v>
      </c>
      <c r="D39" s="30">
        <v>1518</v>
      </c>
      <c r="G39" s="30"/>
      <c r="H39" s="8" t="s">
        <v>110</v>
      </c>
      <c r="I39" s="10"/>
      <c r="J39" s="30"/>
    </row>
    <row r="40" spans="2:14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  <c r="N40" s="31"/>
    </row>
    <row r="41" spans="2:14">
      <c r="B41" s="12"/>
      <c r="C41" s="10" t="s">
        <v>153</v>
      </c>
      <c r="D41" s="30">
        <v>126.5</v>
      </c>
      <c r="E41" s="14"/>
      <c r="F41" s="10" t="s">
        <v>47</v>
      </c>
      <c r="G41" s="30"/>
      <c r="H41" s="8"/>
      <c r="I41" s="10"/>
      <c r="J41" s="30"/>
      <c r="N41" s="31"/>
    </row>
    <row r="42" spans="2:14">
      <c r="B42" s="3" t="s">
        <v>49</v>
      </c>
      <c r="C42" s="4"/>
      <c r="D42" s="29"/>
      <c r="E42" s="2" t="s">
        <v>50</v>
      </c>
      <c r="F42" s="4"/>
      <c r="G42" s="29"/>
      <c r="H42" s="2" t="s">
        <v>51</v>
      </c>
      <c r="I42" s="4"/>
      <c r="J42" s="29"/>
    </row>
    <row r="43" spans="2:14">
      <c r="B43" s="12"/>
      <c r="C43" s="10" t="s">
        <v>46</v>
      </c>
      <c r="D43" s="30"/>
      <c r="E43" s="14"/>
      <c r="F43" s="10" t="s">
        <v>47</v>
      </c>
      <c r="G43" s="30"/>
      <c r="H43" s="8"/>
      <c r="I43" s="10"/>
      <c r="J43" s="30"/>
    </row>
    <row r="44" spans="2:14">
      <c r="B44" s="3" t="s">
        <v>52</v>
      </c>
      <c r="C44" s="4"/>
      <c r="D44" s="29"/>
      <c r="E44" s="2" t="s">
        <v>53</v>
      </c>
      <c r="F44" s="32">
        <f>(D37+D41+D43)*8%</f>
        <v>131.56</v>
      </c>
      <c r="H44" s="2" t="s">
        <v>54</v>
      </c>
      <c r="I44" s="4"/>
      <c r="J44" s="29"/>
    </row>
    <row r="45" spans="2:14">
      <c r="B45" s="12"/>
      <c r="C45" s="10" t="s">
        <v>153</v>
      </c>
      <c r="D45" s="30">
        <v>126.5</v>
      </c>
      <c r="E45" s="14"/>
      <c r="F45" s="10" t="s">
        <v>56</v>
      </c>
      <c r="G45" s="30"/>
      <c r="H45" s="8"/>
      <c r="I45" s="10"/>
      <c r="J45" s="30"/>
    </row>
    <row r="46" spans="2:14">
      <c r="B46" s="3" t="s">
        <v>57</v>
      </c>
      <c r="C46" s="4"/>
      <c r="D46" s="29"/>
      <c r="E46" s="2" t="s">
        <v>58</v>
      </c>
      <c r="F46" s="4"/>
      <c r="H46" s="2" t="s">
        <v>59</v>
      </c>
      <c r="I46" s="4"/>
      <c r="J46" s="29"/>
    </row>
    <row r="47" spans="2:14">
      <c r="B47" s="12"/>
      <c r="C47" s="10"/>
      <c r="D47" s="30" t="s">
        <v>55</v>
      </c>
      <c r="E47" s="33">
        <v>0.4</v>
      </c>
      <c r="F47" s="10"/>
      <c r="G47" s="30"/>
      <c r="H47" s="8" t="s">
        <v>60</v>
      </c>
      <c r="I47" s="10"/>
      <c r="J47" s="30">
        <v>0</v>
      </c>
    </row>
    <row r="48" spans="2:14">
      <c r="B48" s="3" t="s">
        <v>61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179</v>
      </c>
      <c r="C49" s="10"/>
      <c r="D49" s="30">
        <v>632.5</v>
      </c>
      <c r="E49" s="8" t="s">
        <v>65</v>
      </c>
      <c r="F49" s="10"/>
      <c r="G49" s="30"/>
      <c r="H49" s="8"/>
      <c r="I49" s="10"/>
      <c r="J49" s="30">
        <v>0</v>
      </c>
    </row>
    <row r="50" spans="2:10">
      <c r="B50" s="3" t="s">
        <v>66</v>
      </c>
      <c r="C50" s="4"/>
      <c r="D50" s="29"/>
      <c r="E50" s="2" t="s">
        <v>67</v>
      </c>
      <c r="F50" s="4"/>
      <c r="G50" s="29"/>
      <c r="H50" s="2" t="s">
        <v>68</v>
      </c>
      <c r="I50" s="4"/>
      <c r="J50" s="29"/>
    </row>
    <row r="51" spans="2:10">
      <c r="B51" s="9"/>
      <c r="C51" s="10"/>
      <c r="D51" s="30">
        <v>210.83</v>
      </c>
      <c r="E51" s="8"/>
      <c r="F51" s="10"/>
      <c r="G51" s="30" t="s">
        <v>55</v>
      </c>
      <c r="H51" s="8" t="s">
        <v>69</v>
      </c>
      <c r="I51" s="10"/>
      <c r="J51" s="30">
        <f>SUM(J36:J49)</f>
        <v>0</v>
      </c>
    </row>
    <row r="52" spans="2:10">
      <c r="B52" s="3" t="s">
        <v>70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170</v>
      </c>
      <c r="C53" s="10"/>
      <c r="D53" s="30">
        <v>126.5</v>
      </c>
      <c r="E53" s="8"/>
      <c r="F53" s="10"/>
      <c r="G53" s="35">
        <f>D37+D39+D41+D43+D45+D49+D51+D53+G37</f>
        <v>4300.9966666666669</v>
      </c>
      <c r="H53" s="8"/>
      <c r="I53" s="10"/>
      <c r="J53" s="30">
        <f>G53-J51</f>
        <v>4300.9966666666669</v>
      </c>
    </row>
    <row r="54" spans="2:10" ht="8.25" customHeight="1">
      <c r="D54" s="36">
        <f>SUM(D36:D53)</f>
        <v>4258.83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84513888888888899" bottom="2.9861111111111099E-2" header="0.511811023622047" footer="0.511811023622047"/>
  <pageSetup paperSize="9" scale="94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4"/>
  <sheetViews>
    <sheetView zoomScaleNormal="100" workbookViewId="0">
      <selection activeCell="N43" sqref="N43"/>
    </sheetView>
  </sheetViews>
  <sheetFormatPr defaultColWidth="9.140625" defaultRowHeight="11.25" customHeight="1"/>
  <cols>
    <col min="1" max="1" width="7.5703125" style="1" customWidth="1"/>
    <col min="2" max="2" width="12" style="1" customWidth="1"/>
    <col min="3" max="3" width="10.28515625" style="1" customWidth="1"/>
    <col min="4" max="4" width="8.5703125" style="1" customWidth="1"/>
    <col min="5" max="5" width="9.42578125" style="1" customWidth="1"/>
    <col min="6" max="6" width="11" style="1" customWidth="1"/>
    <col min="7" max="7" width="8.7109375" style="1" customWidth="1"/>
    <col min="8" max="8" width="9.140625" style="1"/>
    <col min="9" max="9" width="8.7109375" style="1" customWidth="1"/>
    <col min="10" max="10" width="9.28515625" style="1" customWidth="1"/>
    <col min="11" max="14" width="9.140625" style="1"/>
  </cols>
  <sheetData>
    <row r="1" spans="1:14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4" ht="13.9">
      <c r="A2" s="5"/>
      <c r="F2" s="6" t="s">
        <v>0</v>
      </c>
      <c r="J2" s="7"/>
    </row>
    <row r="3" spans="1:14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4" ht="7.5" customHeight="1"/>
    <row r="5" spans="1:14">
      <c r="B5" s="3" t="s">
        <v>1</v>
      </c>
      <c r="C5" s="4"/>
      <c r="D5" s="2" t="s">
        <v>2</v>
      </c>
      <c r="E5" s="3"/>
      <c r="F5" s="3"/>
      <c r="G5" s="3"/>
      <c r="H5" s="3"/>
      <c r="I5" s="3"/>
      <c r="J5" s="4"/>
    </row>
    <row r="6" spans="1:14" ht="4.5" customHeight="1">
      <c r="C6" s="7"/>
      <c r="D6" s="5"/>
      <c r="J6" s="7"/>
    </row>
    <row r="7" spans="1:14">
      <c r="A7" s="11"/>
      <c r="B7" s="12" t="s">
        <v>180</v>
      </c>
      <c r="C7" s="13"/>
      <c r="D7" s="14" t="s">
        <v>181</v>
      </c>
      <c r="E7" s="12"/>
      <c r="F7" s="12"/>
      <c r="G7" s="12"/>
      <c r="H7" s="11"/>
      <c r="I7" s="12"/>
      <c r="J7" s="13"/>
      <c r="K7" s="11"/>
      <c r="L7" s="11"/>
      <c r="M7" s="11"/>
      <c r="N7" s="11"/>
    </row>
    <row r="8" spans="1:14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4" ht="4.5" customHeight="1">
      <c r="I9" s="5"/>
      <c r="J9" s="7"/>
    </row>
    <row r="10" spans="1:14">
      <c r="A10" s="11"/>
      <c r="B10" s="11" t="s">
        <v>182</v>
      </c>
      <c r="C10" s="12"/>
      <c r="D10" s="12"/>
      <c r="E10" s="12"/>
      <c r="F10" s="11"/>
      <c r="G10" s="11"/>
      <c r="H10" s="12"/>
      <c r="I10" s="14" t="s">
        <v>183</v>
      </c>
      <c r="J10" s="13"/>
      <c r="K10" s="11"/>
      <c r="L10" s="11"/>
      <c r="M10" s="11"/>
      <c r="N10" s="11"/>
    </row>
    <row r="11" spans="1:14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4" ht="4.5" customHeight="1">
      <c r="D12" s="7"/>
      <c r="E12" s="5"/>
      <c r="F12" s="5"/>
      <c r="G12" s="7"/>
      <c r="H12" s="7"/>
      <c r="I12" s="5"/>
      <c r="J12" s="7"/>
    </row>
    <row r="13" spans="1:14">
      <c r="A13" s="11"/>
      <c r="B13" s="12" t="s">
        <v>184</v>
      </c>
      <c r="C13" s="12"/>
      <c r="D13" s="13"/>
      <c r="E13" s="16" t="s">
        <v>185</v>
      </c>
      <c r="F13" s="17" t="s">
        <v>186</v>
      </c>
      <c r="G13" s="13"/>
      <c r="H13" s="18" t="s">
        <v>163</v>
      </c>
      <c r="I13" s="14"/>
      <c r="J13" s="13"/>
      <c r="K13" s="11"/>
      <c r="L13" s="11"/>
      <c r="M13" s="11"/>
      <c r="N13" s="11"/>
    </row>
    <row r="14" spans="1:14" ht="7.5" customHeight="1"/>
    <row r="15" spans="1:14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4" ht="4.5" customHeight="1">
      <c r="D16" s="5"/>
      <c r="J16" s="7"/>
    </row>
    <row r="17" spans="1:14">
      <c r="A17" s="11"/>
      <c r="B17" s="12"/>
      <c r="C17" s="12"/>
      <c r="D17" s="41" t="s">
        <v>187</v>
      </c>
      <c r="E17" s="12"/>
      <c r="F17" s="12"/>
      <c r="G17" s="12"/>
      <c r="H17" s="11"/>
      <c r="I17" s="12"/>
      <c r="J17" s="13"/>
      <c r="K17" s="11"/>
      <c r="L17" s="11"/>
      <c r="M17" s="11"/>
      <c r="N17" s="11"/>
    </row>
    <row r="18" spans="1:14">
      <c r="B18" s="3" t="s">
        <v>15</v>
      </c>
      <c r="C18" s="3"/>
      <c r="H18" s="3"/>
      <c r="I18" s="2" t="s">
        <v>16</v>
      </c>
      <c r="J18" s="4"/>
    </row>
    <row r="19" spans="1:14" ht="3.75" customHeight="1">
      <c r="I19" s="5"/>
      <c r="J19" s="7"/>
    </row>
    <row r="20" spans="1:14">
      <c r="A20" s="11"/>
      <c r="B20" s="11"/>
      <c r="C20" s="12"/>
      <c r="D20" s="12"/>
      <c r="E20" s="12"/>
      <c r="F20" s="11"/>
      <c r="G20" s="11"/>
      <c r="H20" s="12"/>
      <c r="I20" s="12"/>
      <c r="J20" s="13"/>
      <c r="K20" s="11"/>
      <c r="L20" s="11"/>
      <c r="M20" s="11"/>
      <c r="N20" s="11"/>
    </row>
    <row r="21" spans="1:14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1:14" ht="4.5" customHeight="1">
      <c r="E22" s="5"/>
      <c r="F22" s="5"/>
      <c r="G22" s="7"/>
      <c r="H22" s="5"/>
      <c r="J22" s="7"/>
    </row>
    <row r="23" spans="1:14">
      <c r="A23" s="11"/>
      <c r="B23" s="12" t="s">
        <v>184</v>
      </c>
      <c r="C23" s="12"/>
      <c r="D23" s="12"/>
      <c r="E23" s="16" t="s">
        <v>185</v>
      </c>
      <c r="F23" s="14" t="s">
        <v>186</v>
      </c>
      <c r="G23" s="13"/>
      <c r="H23" s="14"/>
      <c r="I23" s="12"/>
      <c r="J23" s="13"/>
      <c r="K23" s="11"/>
      <c r="L23" s="11"/>
      <c r="M23" s="11"/>
      <c r="N23" s="11"/>
    </row>
    <row r="24" spans="1:14">
      <c r="B24" s="3" t="s">
        <v>21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1:14" ht="4.5" customHeight="1">
      <c r="D25" s="5"/>
      <c r="E25" s="7"/>
      <c r="F25" s="5"/>
      <c r="J25" s="7"/>
    </row>
    <row r="26" spans="1:14">
      <c r="A26" s="11"/>
      <c r="B26" s="38"/>
      <c r="C26" s="12"/>
      <c r="D26" s="19"/>
      <c r="E26" s="13"/>
      <c r="F26" s="39"/>
      <c r="G26" s="12"/>
      <c r="H26" s="12"/>
      <c r="I26" s="12"/>
      <c r="J26" s="13"/>
      <c r="K26" s="11"/>
      <c r="L26" s="11"/>
      <c r="M26" s="11"/>
      <c r="N26" s="11"/>
    </row>
    <row r="27" spans="1:14" ht="7.5" customHeight="1"/>
    <row r="28" spans="1:14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1:14" ht="3.75" customHeight="1">
      <c r="D29" s="7"/>
      <c r="E29" s="5"/>
      <c r="F29" s="7"/>
      <c r="G29" s="5"/>
      <c r="H29" s="7"/>
      <c r="I29" s="5"/>
      <c r="J29" s="7"/>
    </row>
    <row r="30" spans="1:14">
      <c r="A30" s="11"/>
      <c r="B30" s="20" t="s">
        <v>28</v>
      </c>
      <c r="C30" s="21">
        <v>1621</v>
      </c>
      <c r="D30" s="13"/>
      <c r="E30" s="22">
        <v>46196</v>
      </c>
      <c r="F30" s="23"/>
      <c r="G30" s="19">
        <v>46256</v>
      </c>
      <c r="H30" s="13"/>
      <c r="I30" s="19">
        <v>46256</v>
      </c>
      <c r="J30" s="13"/>
      <c r="K30" s="11"/>
      <c r="L30" s="11"/>
      <c r="M30" s="11"/>
      <c r="N30" s="11"/>
    </row>
    <row r="31" spans="1:14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1:14" ht="4.5" customHeight="1">
      <c r="E32" s="5"/>
      <c r="F32" s="7"/>
      <c r="H32" s="7"/>
      <c r="I32" s="5"/>
      <c r="J32" s="7"/>
    </row>
    <row r="33" spans="1:14" ht="12.6">
      <c r="A33" s="11"/>
      <c r="B33" s="40" t="s">
        <v>188</v>
      </c>
      <c r="C33" s="12"/>
      <c r="D33" s="12"/>
      <c r="E33" s="14" t="s">
        <v>107</v>
      </c>
      <c r="F33" s="13"/>
      <c r="G33" s="12"/>
      <c r="H33" s="13"/>
      <c r="I33" s="14"/>
      <c r="J33" s="13"/>
      <c r="K33" s="11"/>
      <c r="L33" s="11"/>
      <c r="M33" s="11"/>
      <c r="N33" s="11"/>
    </row>
    <row r="34" spans="1:14" ht="8.25" customHeight="1"/>
    <row r="35" spans="1:14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1:14">
      <c r="B36" s="1" t="s">
        <v>36</v>
      </c>
      <c r="C36" s="7"/>
      <c r="D36" s="28"/>
      <c r="E36" s="5" t="s">
        <v>37</v>
      </c>
      <c r="F36" s="7"/>
      <c r="G36" s="28"/>
      <c r="H36" s="2" t="s">
        <v>38</v>
      </c>
      <c r="I36" s="4"/>
      <c r="J36" s="29"/>
    </row>
    <row r="37" spans="1:14">
      <c r="B37" s="12">
        <v>0</v>
      </c>
      <c r="C37" s="10" t="s">
        <v>109</v>
      </c>
      <c r="D37" s="30">
        <v>0</v>
      </c>
      <c r="E37" s="8"/>
      <c r="F37" s="10"/>
      <c r="G37" s="30">
        <f>D53/3</f>
        <v>0</v>
      </c>
      <c r="H37" s="8"/>
      <c r="I37" s="10"/>
      <c r="J37" s="30">
        <v>0</v>
      </c>
    </row>
    <row r="38" spans="1:14">
      <c r="B38" s="3" t="s">
        <v>39</v>
      </c>
      <c r="C38" s="4"/>
      <c r="D38" s="29"/>
      <c r="E38" s="1" t="s">
        <v>40</v>
      </c>
      <c r="G38" s="29"/>
      <c r="H38" s="2" t="s">
        <v>41</v>
      </c>
      <c r="I38" s="4"/>
      <c r="J38" s="29"/>
    </row>
    <row r="39" spans="1:14">
      <c r="B39" s="12">
        <v>22</v>
      </c>
      <c r="C39" s="10" t="s">
        <v>109</v>
      </c>
      <c r="D39" s="30">
        <v>1150.3800000000001</v>
      </c>
      <c r="G39" s="30">
        <v>60.49</v>
      </c>
      <c r="H39" s="8" t="s">
        <v>110</v>
      </c>
      <c r="I39" s="10"/>
      <c r="J39" s="30">
        <v>0</v>
      </c>
    </row>
    <row r="40" spans="1:14">
      <c r="B40" s="3" t="s">
        <v>43</v>
      </c>
      <c r="C40" s="4"/>
      <c r="D40" s="29"/>
      <c r="E40" s="2" t="s">
        <v>189</v>
      </c>
      <c r="F40" s="4"/>
      <c r="G40" s="29"/>
      <c r="H40" s="2" t="s">
        <v>45</v>
      </c>
      <c r="I40" s="4"/>
      <c r="J40" s="29"/>
      <c r="N40" s="31"/>
    </row>
    <row r="41" spans="1:14">
      <c r="B41" s="12"/>
      <c r="C41" s="10" t="s">
        <v>111</v>
      </c>
      <c r="D41" s="30">
        <v>270.16000000000003</v>
      </c>
      <c r="E41" s="14">
        <v>20</v>
      </c>
      <c r="F41" s="10" t="s">
        <v>47</v>
      </c>
      <c r="G41" s="30">
        <v>294.72000000000003</v>
      </c>
      <c r="H41" s="8"/>
      <c r="I41" s="10"/>
      <c r="J41" s="30"/>
      <c r="N41" s="31"/>
    </row>
    <row r="42" spans="1:14">
      <c r="B42" s="3" t="s">
        <v>49</v>
      </c>
      <c r="C42" s="4"/>
      <c r="D42" s="29"/>
      <c r="E42" s="2" t="s">
        <v>190</v>
      </c>
      <c r="F42" s="4"/>
      <c r="G42" s="29"/>
      <c r="H42" s="2" t="s">
        <v>51</v>
      </c>
      <c r="I42" s="4"/>
      <c r="J42" s="29"/>
    </row>
    <row r="43" spans="1:14">
      <c r="B43" s="12"/>
      <c r="C43" s="10" t="s">
        <v>46</v>
      </c>
      <c r="D43" s="30">
        <v>0</v>
      </c>
      <c r="E43" s="14">
        <v>8</v>
      </c>
      <c r="F43" s="10" t="s">
        <v>47</v>
      </c>
      <c r="G43" s="30">
        <v>88.41</v>
      </c>
      <c r="H43" s="8"/>
      <c r="I43" s="10"/>
      <c r="J43" s="30"/>
    </row>
    <row r="44" spans="1:14">
      <c r="B44" s="3" t="s">
        <v>52</v>
      </c>
      <c r="C44" s="4"/>
      <c r="D44" s="29"/>
      <c r="E44" s="2" t="s">
        <v>53</v>
      </c>
      <c r="F44" s="32">
        <f>(D37+D41+D43)*8%</f>
        <v>21.612800000000004</v>
      </c>
      <c r="H44" s="2" t="s">
        <v>54</v>
      </c>
      <c r="I44" s="4"/>
      <c r="J44" s="29"/>
    </row>
    <row r="45" spans="1:14">
      <c r="B45" s="12"/>
      <c r="C45" s="10" t="s">
        <v>46</v>
      </c>
      <c r="D45" s="30"/>
      <c r="E45" s="47"/>
      <c r="F45" s="48" t="s">
        <v>191</v>
      </c>
      <c r="G45" s="30">
        <v>0</v>
      </c>
      <c r="H45" s="8"/>
      <c r="I45" s="10"/>
      <c r="J45" s="30"/>
    </row>
    <row r="46" spans="1:14">
      <c r="B46" s="3" t="s">
        <v>57</v>
      </c>
      <c r="C46" s="4"/>
      <c r="D46" s="29"/>
      <c r="E46" s="2" t="s">
        <v>58</v>
      </c>
      <c r="F46" s="4"/>
      <c r="H46" s="2" t="s">
        <v>59</v>
      </c>
      <c r="I46" s="4"/>
      <c r="J46" s="29"/>
    </row>
    <row r="47" spans="1:14">
      <c r="B47" s="12"/>
      <c r="C47" s="10"/>
      <c r="D47" s="30" t="s">
        <v>55</v>
      </c>
      <c r="E47" s="33">
        <v>0.4</v>
      </c>
      <c r="F47" s="10"/>
      <c r="G47" s="30">
        <v>0</v>
      </c>
      <c r="H47" s="8" t="s">
        <v>60</v>
      </c>
      <c r="I47" s="10"/>
      <c r="J47" s="30">
        <v>0</v>
      </c>
    </row>
    <row r="48" spans="1:14">
      <c r="B48" s="3" t="s">
        <v>61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112</v>
      </c>
      <c r="C49" s="10"/>
      <c r="D49" s="30">
        <v>270.16000000000003</v>
      </c>
      <c r="E49" s="8" t="s">
        <v>65</v>
      </c>
      <c r="F49" s="10"/>
      <c r="G49" s="30"/>
      <c r="H49" s="8"/>
      <c r="I49" s="10"/>
      <c r="J49" s="30">
        <v>0</v>
      </c>
    </row>
    <row r="50" spans="2:10">
      <c r="B50" s="3" t="s">
        <v>66</v>
      </c>
      <c r="C50" s="4"/>
      <c r="D50" s="29"/>
      <c r="E50" s="2" t="s">
        <v>67</v>
      </c>
      <c r="F50" s="4"/>
      <c r="G50" s="29"/>
      <c r="H50" s="2" t="s">
        <v>68</v>
      </c>
      <c r="I50" s="4"/>
      <c r="J50" s="29"/>
    </row>
    <row r="51" spans="2:10">
      <c r="B51" s="9"/>
      <c r="C51" s="10"/>
      <c r="D51" s="30">
        <f>D49/3</f>
        <v>90.053333333333342</v>
      </c>
      <c r="E51" s="8"/>
      <c r="F51" s="10"/>
      <c r="G51" s="30" t="s">
        <v>55</v>
      </c>
      <c r="H51" s="8" t="s">
        <v>69</v>
      </c>
      <c r="I51" s="10"/>
      <c r="J51" s="30">
        <f>SUM(J36:J49)</f>
        <v>0</v>
      </c>
    </row>
    <row r="52" spans="2:10">
      <c r="B52" s="3" t="s">
        <v>70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192</v>
      </c>
      <c r="C53" s="10"/>
      <c r="D53" s="30">
        <v>0</v>
      </c>
      <c r="E53" s="8"/>
      <c r="F53" s="10"/>
      <c r="G53" s="35">
        <v>2224.37</v>
      </c>
      <c r="H53" s="8"/>
      <c r="I53" s="10"/>
      <c r="J53" s="30">
        <f>G53-J51</f>
        <v>2224.37</v>
      </c>
    </row>
    <row r="54" spans="2:10" ht="8.25" customHeight="1">
      <c r="D54" s="36">
        <f>SUM(D36:D53)</f>
        <v>1780.7533333333336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84513888888888899" bottom="2.9861111111111099E-2" header="0.511811023622047" footer="0.511811023622047"/>
  <pageSetup paperSize="9" scale="94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4"/>
  <sheetViews>
    <sheetView zoomScaleNormal="100" workbookViewId="0">
      <selection activeCell="E46" sqref="E46"/>
    </sheetView>
  </sheetViews>
  <sheetFormatPr defaultColWidth="9.140625" defaultRowHeight="11.25" customHeight="1"/>
  <cols>
    <col min="1" max="1" width="7.5703125" style="1" customWidth="1"/>
    <col min="2" max="2" width="12" style="1" customWidth="1"/>
    <col min="3" max="3" width="10.28515625" style="1" customWidth="1"/>
    <col min="4" max="4" width="8.5703125" style="1" customWidth="1"/>
    <col min="5" max="5" width="9.42578125" style="1" customWidth="1"/>
    <col min="6" max="6" width="11" style="1" customWidth="1"/>
    <col min="7" max="7" width="8.7109375" style="1" customWidth="1"/>
    <col min="8" max="8" width="9.140625" style="1"/>
    <col min="9" max="9" width="8.7109375" style="1" customWidth="1"/>
    <col min="10" max="10" width="9.28515625" style="1" customWidth="1"/>
    <col min="11" max="14" width="9.140625" style="1"/>
  </cols>
  <sheetData>
    <row r="1" spans="1:14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4" ht="13.9">
      <c r="A2" s="5"/>
      <c r="F2" s="6" t="s">
        <v>0</v>
      </c>
      <c r="J2" s="7"/>
    </row>
    <row r="3" spans="1:14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4" ht="7.5" customHeight="1"/>
    <row r="5" spans="1:14">
      <c r="B5" s="3" t="s">
        <v>1</v>
      </c>
      <c r="C5" s="4"/>
      <c r="D5" s="2" t="s">
        <v>2</v>
      </c>
      <c r="E5" s="3"/>
      <c r="F5" s="3"/>
      <c r="G5" s="3"/>
      <c r="H5" s="3"/>
      <c r="I5" s="3"/>
      <c r="J5" s="4"/>
    </row>
    <row r="6" spans="1:14" ht="4.5" customHeight="1">
      <c r="C6" s="7"/>
      <c r="D6" s="5"/>
      <c r="J6" s="7"/>
    </row>
    <row r="7" spans="1:14">
      <c r="A7" s="11"/>
      <c r="B7" s="12" t="s">
        <v>193</v>
      </c>
      <c r="C7" s="13"/>
      <c r="D7" s="14" t="s">
        <v>194</v>
      </c>
      <c r="E7" s="12"/>
      <c r="F7" s="12"/>
      <c r="G7" s="12"/>
      <c r="H7" s="11"/>
      <c r="I7" s="12"/>
      <c r="J7" s="13"/>
      <c r="K7" s="11"/>
      <c r="L7" s="11"/>
      <c r="M7" s="11"/>
      <c r="N7" s="11"/>
    </row>
    <row r="8" spans="1:14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4" ht="4.5" customHeight="1">
      <c r="I9" s="5"/>
      <c r="J9" s="7"/>
    </row>
    <row r="10" spans="1:14">
      <c r="A10" s="11"/>
      <c r="B10" s="11" t="s">
        <v>195</v>
      </c>
      <c r="C10" s="12"/>
      <c r="D10" s="12"/>
      <c r="E10" s="12"/>
      <c r="F10" s="11"/>
      <c r="G10" s="11"/>
      <c r="H10" s="12"/>
      <c r="I10" s="14" t="s">
        <v>196</v>
      </c>
      <c r="J10" s="13"/>
      <c r="K10" s="11"/>
      <c r="L10" s="11"/>
      <c r="M10" s="11"/>
      <c r="N10" s="11"/>
    </row>
    <row r="11" spans="1:14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4" ht="4.5" customHeight="1">
      <c r="D12" s="7"/>
      <c r="E12" s="5"/>
      <c r="F12" s="5"/>
      <c r="G12" s="7"/>
      <c r="H12" s="7"/>
      <c r="I12" s="5"/>
      <c r="J12" s="7"/>
    </row>
    <row r="13" spans="1:14">
      <c r="A13" s="11"/>
      <c r="B13" s="12" t="s">
        <v>197</v>
      </c>
      <c r="C13" s="12"/>
      <c r="D13" s="13"/>
      <c r="E13" s="16" t="s">
        <v>140</v>
      </c>
      <c r="F13" s="17">
        <v>68777000</v>
      </c>
      <c r="G13" s="13"/>
      <c r="H13" s="18"/>
      <c r="I13" s="14"/>
      <c r="J13" s="13"/>
      <c r="K13" s="11"/>
      <c r="L13" s="11"/>
      <c r="M13" s="11"/>
      <c r="N13" s="11"/>
    </row>
    <row r="14" spans="1:14" ht="7.5" customHeight="1"/>
    <row r="15" spans="1:14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4" ht="4.5" customHeight="1">
      <c r="D16" s="5"/>
      <c r="J16" s="7"/>
    </row>
    <row r="17" spans="1:14">
      <c r="A17" s="11"/>
      <c r="B17" s="12"/>
      <c r="C17" s="12"/>
      <c r="D17" s="41" t="s">
        <v>198</v>
      </c>
      <c r="E17" s="12"/>
      <c r="F17" s="12"/>
      <c r="G17" s="12"/>
      <c r="H17" s="11"/>
      <c r="I17" s="12"/>
      <c r="J17" s="13"/>
      <c r="K17" s="11"/>
      <c r="L17" s="11"/>
      <c r="M17" s="11"/>
      <c r="N17" s="11"/>
    </row>
    <row r="18" spans="1:14">
      <c r="B18" s="3" t="s">
        <v>15</v>
      </c>
      <c r="C18" s="3"/>
      <c r="H18" s="3"/>
      <c r="I18" s="2" t="s">
        <v>16</v>
      </c>
      <c r="J18" s="4"/>
    </row>
    <row r="19" spans="1:14" ht="3.75" customHeight="1">
      <c r="I19" s="5"/>
      <c r="J19" s="7"/>
    </row>
    <row r="20" spans="1:14">
      <c r="A20" s="11"/>
      <c r="B20" s="11"/>
      <c r="C20" s="12"/>
      <c r="D20" s="12"/>
      <c r="E20" s="12"/>
      <c r="F20" s="11"/>
      <c r="G20" s="11"/>
      <c r="H20" s="12"/>
      <c r="I20" s="12"/>
      <c r="J20" s="13"/>
      <c r="K20" s="11"/>
      <c r="L20" s="11"/>
      <c r="M20" s="11"/>
      <c r="N20" s="11"/>
    </row>
    <row r="21" spans="1:14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1:14" ht="4.5" customHeight="1">
      <c r="E22" s="5"/>
      <c r="F22" s="5"/>
      <c r="G22" s="7"/>
      <c r="H22" s="5"/>
      <c r="J22" s="7"/>
    </row>
    <row r="23" spans="1:14">
      <c r="A23" s="11"/>
      <c r="B23" s="12"/>
      <c r="C23" s="12"/>
      <c r="D23" s="12"/>
      <c r="E23" s="16"/>
      <c r="F23" s="14"/>
      <c r="G23" s="13"/>
      <c r="H23" s="14"/>
      <c r="I23" s="12"/>
      <c r="J23" s="13"/>
      <c r="K23" s="11"/>
      <c r="L23" s="11"/>
      <c r="M23" s="11"/>
      <c r="N23" s="11"/>
    </row>
    <row r="24" spans="1:14">
      <c r="B24" s="3" t="s">
        <v>21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1:14" ht="4.5" customHeight="1">
      <c r="D25" s="5"/>
      <c r="E25" s="7"/>
      <c r="F25" s="5"/>
      <c r="J25" s="7"/>
    </row>
    <row r="26" spans="1:14">
      <c r="A26" s="11"/>
      <c r="B26" s="38"/>
      <c r="C26" s="12"/>
      <c r="D26" s="19"/>
      <c r="E26" s="13"/>
      <c r="F26" s="39"/>
      <c r="G26" s="12"/>
      <c r="H26" s="12"/>
      <c r="I26" s="12"/>
      <c r="J26" s="13"/>
      <c r="K26" s="11"/>
      <c r="L26" s="11"/>
      <c r="M26" s="11"/>
      <c r="N26" s="11"/>
    </row>
    <row r="27" spans="1:14" ht="7.5" customHeight="1"/>
    <row r="28" spans="1:14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1:14" ht="3.75" customHeight="1">
      <c r="D29" s="7"/>
      <c r="E29" s="5"/>
      <c r="F29" s="7"/>
      <c r="G29" s="5"/>
      <c r="H29" s="7"/>
      <c r="I29" s="5"/>
      <c r="J29" s="7"/>
    </row>
    <row r="30" spans="1:14">
      <c r="A30" s="11"/>
      <c r="B30" s="20" t="s">
        <v>28</v>
      </c>
      <c r="C30" s="21">
        <v>1688</v>
      </c>
      <c r="D30" s="13"/>
      <c r="E30" s="22">
        <v>45922</v>
      </c>
      <c r="F30" s="23"/>
      <c r="G30" s="19">
        <v>45961</v>
      </c>
      <c r="H30" s="13"/>
      <c r="I30" s="19">
        <v>45961</v>
      </c>
      <c r="J30" s="13"/>
      <c r="K30" s="11"/>
      <c r="L30" s="11"/>
      <c r="M30" s="11"/>
      <c r="N30" s="11"/>
    </row>
    <row r="31" spans="1:14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1:14" ht="4.5" customHeight="1">
      <c r="E32" s="5"/>
      <c r="F32" s="7"/>
      <c r="H32" s="7"/>
      <c r="I32" s="5"/>
      <c r="J32" s="7"/>
    </row>
    <row r="33" spans="1:14" ht="12.6">
      <c r="A33" s="11"/>
      <c r="B33" s="40" t="s">
        <v>166</v>
      </c>
      <c r="C33" s="12"/>
      <c r="D33" s="12"/>
      <c r="E33" s="14" t="s">
        <v>107</v>
      </c>
      <c r="F33" s="13"/>
      <c r="G33" s="12"/>
      <c r="H33" s="13"/>
      <c r="I33" s="14"/>
      <c r="J33" s="13"/>
      <c r="K33" s="11"/>
      <c r="L33" s="11"/>
      <c r="M33" s="11"/>
      <c r="N33" s="11"/>
    </row>
    <row r="34" spans="1:14" ht="8.25" customHeight="1"/>
    <row r="35" spans="1:14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1:14">
      <c r="B36" s="1" t="s">
        <v>36</v>
      </c>
      <c r="C36" s="7"/>
      <c r="D36" s="28"/>
      <c r="E36" s="5" t="s">
        <v>37</v>
      </c>
      <c r="F36" s="7"/>
      <c r="G36" s="28"/>
      <c r="H36" s="2" t="s">
        <v>38</v>
      </c>
      <c r="I36" s="4"/>
      <c r="J36" s="29"/>
    </row>
    <row r="37" spans="1:14">
      <c r="B37" s="12">
        <v>-30</v>
      </c>
      <c r="C37" s="10" t="s">
        <v>109</v>
      </c>
      <c r="D37" s="30">
        <v>1688</v>
      </c>
      <c r="E37" s="8"/>
      <c r="F37" s="10"/>
      <c r="G37" s="30">
        <f>D53/3</f>
        <v>46.886666666666663</v>
      </c>
      <c r="H37" s="8"/>
      <c r="I37" s="10"/>
      <c r="J37" s="30"/>
    </row>
    <row r="38" spans="1:14">
      <c r="B38" s="3" t="s">
        <v>39</v>
      </c>
      <c r="C38" s="4"/>
      <c r="D38" s="29"/>
      <c r="E38" s="1" t="s">
        <v>40</v>
      </c>
      <c r="G38" s="29"/>
      <c r="H38" s="2" t="s">
        <v>41</v>
      </c>
      <c r="I38" s="4"/>
      <c r="J38" s="29"/>
    </row>
    <row r="39" spans="1:14">
      <c r="B39" s="12">
        <v>0</v>
      </c>
      <c r="C39" s="10" t="s">
        <v>109</v>
      </c>
      <c r="D39" s="30"/>
      <c r="G39" s="30"/>
      <c r="H39" s="8" t="s">
        <v>110</v>
      </c>
      <c r="I39" s="10"/>
      <c r="J39" s="30"/>
    </row>
    <row r="40" spans="1:14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  <c r="N40" s="31"/>
    </row>
    <row r="41" spans="1:14">
      <c r="B41" s="12"/>
      <c r="C41" s="10" t="s">
        <v>153</v>
      </c>
      <c r="D41" s="30">
        <v>140.66</v>
      </c>
      <c r="E41" s="14"/>
      <c r="F41" s="10" t="s">
        <v>47</v>
      </c>
      <c r="G41" s="30"/>
      <c r="H41" s="8"/>
      <c r="I41" s="10"/>
      <c r="J41" s="30"/>
      <c r="N41" s="31"/>
    </row>
    <row r="42" spans="1:14">
      <c r="B42" s="3" t="s">
        <v>49</v>
      </c>
      <c r="C42" s="4"/>
      <c r="D42" s="29"/>
      <c r="E42" s="2" t="s">
        <v>50</v>
      </c>
      <c r="F42" s="4"/>
      <c r="G42" s="29"/>
      <c r="H42" s="2" t="s">
        <v>51</v>
      </c>
      <c r="I42" s="4"/>
      <c r="J42" s="29"/>
    </row>
    <row r="43" spans="1:14">
      <c r="B43" s="12">
        <v>1</v>
      </c>
      <c r="C43" s="10" t="s">
        <v>46</v>
      </c>
      <c r="D43" s="30">
        <v>140.66</v>
      </c>
      <c r="E43" s="14"/>
      <c r="F43" s="10" t="s">
        <v>47</v>
      </c>
      <c r="G43" s="30"/>
      <c r="H43" s="8"/>
      <c r="I43" s="10"/>
      <c r="J43" s="30"/>
    </row>
    <row r="44" spans="1:14">
      <c r="B44" s="3" t="s">
        <v>52</v>
      </c>
      <c r="C44" s="4"/>
      <c r="D44" s="29"/>
      <c r="E44" s="2" t="s">
        <v>53</v>
      </c>
      <c r="F44" s="32">
        <f>(D37+D41+D43)*8%</f>
        <v>157.54560000000001</v>
      </c>
      <c r="H44" s="2" t="s">
        <v>54</v>
      </c>
      <c r="I44" s="4"/>
      <c r="J44" s="29"/>
    </row>
    <row r="45" spans="1:14">
      <c r="B45" s="12"/>
      <c r="C45" s="10" t="s">
        <v>46</v>
      </c>
      <c r="D45" s="30"/>
      <c r="E45" s="47"/>
      <c r="F45" s="48" t="s">
        <v>191</v>
      </c>
      <c r="G45" s="30">
        <v>175.6</v>
      </c>
      <c r="H45" s="8"/>
      <c r="I45" s="10"/>
      <c r="J45" s="30"/>
    </row>
    <row r="46" spans="1:14">
      <c r="B46" s="3" t="s">
        <v>57</v>
      </c>
      <c r="C46" s="4"/>
      <c r="D46" s="29"/>
      <c r="E46" s="2" t="s">
        <v>58</v>
      </c>
      <c r="F46" s="4"/>
      <c r="H46" s="2" t="s">
        <v>59</v>
      </c>
      <c r="I46" s="4"/>
      <c r="J46" s="29"/>
    </row>
    <row r="47" spans="1:14" ht="12.6">
      <c r="B47" s="12"/>
      <c r="C47" s="10"/>
      <c r="D47" s="30" t="s">
        <v>55</v>
      </c>
      <c r="E47"/>
      <c r="F47" s="33">
        <v>0.4</v>
      </c>
      <c r="G47" s="30">
        <v>133.25</v>
      </c>
      <c r="H47" s="8" t="s">
        <v>60</v>
      </c>
      <c r="I47" s="10"/>
      <c r="J47" s="30">
        <v>0</v>
      </c>
    </row>
    <row r="48" spans="1:14">
      <c r="B48" s="3" t="s">
        <v>61</v>
      </c>
      <c r="C48" s="4"/>
      <c r="D48" s="29"/>
      <c r="E48" s="2" t="s">
        <v>199</v>
      </c>
      <c r="F48" s="4"/>
      <c r="G48" s="29"/>
      <c r="H48" s="2" t="s">
        <v>63</v>
      </c>
      <c r="I48" s="4"/>
      <c r="J48" s="29"/>
    </row>
    <row r="49" spans="2:10">
      <c r="B49" s="9" t="s">
        <v>200</v>
      </c>
      <c r="C49" s="10" t="s">
        <v>201</v>
      </c>
      <c r="D49" s="30">
        <v>140.66</v>
      </c>
      <c r="E49" s="8"/>
      <c r="F49" s="49" t="s">
        <v>202</v>
      </c>
      <c r="G49" s="30">
        <v>157.54</v>
      </c>
      <c r="H49" s="8"/>
      <c r="I49" s="10"/>
      <c r="J49" s="30">
        <v>0</v>
      </c>
    </row>
    <row r="50" spans="2:10">
      <c r="B50" s="3" t="s">
        <v>66</v>
      </c>
      <c r="C50" s="4"/>
      <c r="D50" s="29"/>
      <c r="E50" s="2" t="s">
        <v>203</v>
      </c>
      <c r="F50" s="4"/>
      <c r="G50" s="29"/>
      <c r="H50" s="2" t="s">
        <v>68</v>
      </c>
      <c r="I50" s="4"/>
      <c r="J50" s="29"/>
    </row>
    <row r="51" spans="2:10">
      <c r="B51" s="9"/>
      <c r="C51" s="10"/>
      <c r="D51" s="30">
        <v>46.88</v>
      </c>
      <c r="E51" s="8"/>
      <c r="F51" s="10" t="s">
        <v>204</v>
      </c>
      <c r="G51" s="30">
        <v>1688</v>
      </c>
      <c r="H51" s="8" t="s">
        <v>69</v>
      </c>
      <c r="I51" s="10"/>
      <c r="J51" s="30">
        <f>SUM(J36:J49)</f>
        <v>0</v>
      </c>
    </row>
    <row r="52" spans="2:10">
      <c r="B52" s="3" t="s">
        <v>70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 ht="12.6">
      <c r="B53"/>
      <c r="C53" s="9" t="s">
        <v>170</v>
      </c>
      <c r="D53" s="30">
        <v>140.66</v>
      </c>
      <c r="E53" s="8"/>
      <c r="F53" s="10"/>
      <c r="G53" s="35">
        <v>4498.8</v>
      </c>
      <c r="H53" s="8"/>
      <c r="I53" s="10"/>
      <c r="J53" s="30">
        <f>G53-J51</f>
        <v>4498.8</v>
      </c>
    </row>
    <row r="54" spans="2:10" ht="8.25" customHeight="1">
      <c r="D54" s="36">
        <f>SUM(D36:D53)</f>
        <v>2297.52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84513888888888899" bottom="2.9861111111111099E-2" header="0.511811023622047" footer="0.511811023622047"/>
  <pageSetup paperSize="9" scale="94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560D9-13CE-47AA-9EDA-158121457D9A}">
  <dimension ref="A1:N74"/>
  <sheetViews>
    <sheetView tabSelected="1" zoomScaleNormal="100" workbookViewId="0">
      <selection activeCell="D49" sqref="D49"/>
    </sheetView>
  </sheetViews>
  <sheetFormatPr defaultColWidth="9.140625" defaultRowHeight="11.25" customHeight="1"/>
  <cols>
    <col min="1" max="1" width="7.5703125" style="1" customWidth="1"/>
    <col min="2" max="2" width="12" style="1" customWidth="1"/>
    <col min="3" max="3" width="10.28515625" style="1" customWidth="1"/>
    <col min="4" max="4" width="8.5703125" style="1" customWidth="1"/>
    <col min="5" max="5" width="9.42578125" style="1" customWidth="1"/>
    <col min="6" max="6" width="11" style="1" customWidth="1"/>
    <col min="7" max="7" width="8.7109375" style="1" customWidth="1"/>
    <col min="8" max="8" width="9.140625" style="1"/>
    <col min="9" max="9" width="8.7109375" style="1" customWidth="1"/>
    <col min="10" max="10" width="9.28515625" style="1" customWidth="1"/>
    <col min="11" max="14" width="9.140625" style="1"/>
  </cols>
  <sheetData>
    <row r="1" spans="1:14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4" ht="13.9">
      <c r="A2" s="5"/>
      <c r="F2" s="6" t="s">
        <v>0</v>
      </c>
      <c r="J2" s="7"/>
    </row>
    <row r="3" spans="1:14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4" ht="7.5" customHeight="1"/>
    <row r="5" spans="1:14">
      <c r="B5" s="3" t="s">
        <v>1</v>
      </c>
      <c r="C5" s="4"/>
      <c r="D5" s="2" t="s">
        <v>2</v>
      </c>
      <c r="E5" s="3"/>
      <c r="F5" s="3"/>
      <c r="G5" s="3"/>
      <c r="H5" s="3"/>
      <c r="I5" s="3"/>
      <c r="J5" s="4"/>
    </row>
    <row r="6" spans="1:14" ht="4.5" customHeight="1">
      <c r="C6" s="7"/>
      <c r="D6" s="5"/>
      <c r="J6" s="7"/>
    </row>
    <row r="7" spans="1:14">
      <c r="A7" s="11"/>
      <c r="B7" s="12"/>
      <c r="C7" s="13"/>
      <c r="D7" s="14"/>
      <c r="E7" s="12"/>
      <c r="F7" s="12"/>
      <c r="G7" s="12"/>
      <c r="H7" s="11"/>
      <c r="I7" s="12"/>
      <c r="J7" s="13"/>
      <c r="K7" s="11"/>
      <c r="L7" s="11"/>
      <c r="M7" s="11"/>
      <c r="N7" s="11"/>
    </row>
    <row r="8" spans="1:14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4" ht="4.5" customHeight="1">
      <c r="I9" s="5"/>
      <c r="J9" s="7"/>
    </row>
    <row r="10" spans="1:14">
      <c r="A10" s="11"/>
      <c r="B10" s="11"/>
      <c r="C10" s="12"/>
      <c r="D10" s="12"/>
      <c r="E10" s="12"/>
      <c r="F10" s="11"/>
      <c r="G10" s="11"/>
      <c r="H10" s="12"/>
      <c r="I10" s="14"/>
      <c r="J10" s="13"/>
      <c r="K10" s="11"/>
      <c r="L10" s="11"/>
      <c r="M10" s="11"/>
      <c r="N10" s="11"/>
    </row>
    <row r="11" spans="1:14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4" ht="4.5" customHeight="1">
      <c r="D12" s="7"/>
      <c r="E12" s="5"/>
      <c r="F12" s="5"/>
      <c r="G12" s="7"/>
      <c r="H12" s="7"/>
      <c r="I12" s="5"/>
      <c r="J12" s="7"/>
    </row>
    <row r="13" spans="1:14">
      <c r="A13" s="11"/>
      <c r="B13" s="12"/>
      <c r="C13" s="12"/>
      <c r="D13" s="13"/>
      <c r="E13" s="16"/>
      <c r="F13" s="17"/>
      <c r="G13" s="13"/>
      <c r="H13" s="18"/>
      <c r="I13" s="14"/>
      <c r="J13" s="13"/>
      <c r="K13" s="11"/>
      <c r="L13" s="11"/>
      <c r="M13" s="11"/>
      <c r="N13" s="11"/>
    </row>
    <row r="14" spans="1:14" ht="7.5" customHeight="1"/>
    <row r="15" spans="1:14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4" ht="4.5" customHeight="1">
      <c r="D16" s="5"/>
      <c r="J16" s="7"/>
    </row>
    <row r="17" spans="1:14" ht="12.75">
      <c r="A17" s="11"/>
      <c r="B17" s="12"/>
      <c r="C17" s="12"/>
      <c r="D17" s="41"/>
      <c r="E17" s="12"/>
      <c r="F17" s="12"/>
      <c r="G17" s="12"/>
      <c r="H17" s="11"/>
      <c r="I17" s="12"/>
      <c r="J17" s="13"/>
      <c r="K17" s="11"/>
      <c r="L17" s="11"/>
      <c r="M17" s="11"/>
      <c r="N17" s="11"/>
    </row>
    <row r="18" spans="1:14">
      <c r="B18" s="3" t="s">
        <v>15</v>
      </c>
      <c r="C18" s="3"/>
      <c r="H18" s="3"/>
      <c r="I18" s="2" t="s">
        <v>16</v>
      </c>
      <c r="J18" s="4"/>
    </row>
    <row r="19" spans="1:14" ht="3.75" customHeight="1">
      <c r="I19" s="5"/>
      <c r="J19" s="7"/>
    </row>
    <row r="20" spans="1:14">
      <c r="A20" s="11"/>
      <c r="B20" s="11"/>
      <c r="C20" s="12"/>
      <c r="D20" s="12"/>
      <c r="E20" s="12"/>
      <c r="F20" s="11"/>
      <c r="G20" s="11"/>
      <c r="H20" s="12"/>
      <c r="I20" s="12"/>
      <c r="J20" s="13"/>
      <c r="K20" s="11"/>
      <c r="L20" s="11"/>
      <c r="M20" s="11"/>
      <c r="N20" s="11"/>
    </row>
    <row r="21" spans="1:14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1:14" ht="4.5" customHeight="1">
      <c r="E22" s="5"/>
      <c r="F22" s="5"/>
      <c r="G22" s="7"/>
      <c r="H22" s="5"/>
      <c r="J22" s="7"/>
    </row>
    <row r="23" spans="1:14">
      <c r="A23" s="11"/>
      <c r="B23" s="12"/>
      <c r="C23" s="12"/>
      <c r="D23" s="12"/>
      <c r="E23" s="16"/>
      <c r="F23" s="14"/>
      <c r="G23" s="13"/>
      <c r="H23" s="14"/>
      <c r="I23" s="12"/>
      <c r="J23" s="13"/>
      <c r="K23" s="11"/>
      <c r="L23" s="11"/>
      <c r="M23" s="11"/>
      <c r="N23" s="11"/>
    </row>
    <row r="24" spans="1:14">
      <c r="B24" s="3" t="s">
        <v>21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1:14" ht="4.5" customHeight="1">
      <c r="D25" s="5"/>
      <c r="E25" s="7"/>
      <c r="F25" s="5"/>
      <c r="J25" s="7"/>
    </row>
    <row r="26" spans="1:14">
      <c r="A26" s="11"/>
      <c r="B26" s="59"/>
      <c r="C26" s="12"/>
      <c r="D26" s="19"/>
      <c r="E26" s="13"/>
      <c r="F26" s="39"/>
      <c r="G26" s="12"/>
      <c r="H26" s="12"/>
      <c r="I26" s="12"/>
      <c r="J26" s="13"/>
      <c r="K26" s="11"/>
      <c r="L26" s="11"/>
      <c r="M26" s="11"/>
      <c r="N26" s="11"/>
    </row>
    <row r="27" spans="1:14" ht="7.5" customHeight="1">
      <c r="F27" s="1" t="s">
        <v>205</v>
      </c>
    </row>
    <row r="28" spans="1:14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1:14" ht="3.75" customHeight="1">
      <c r="D29" s="7"/>
      <c r="E29" s="5"/>
      <c r="F29" s="7"/>
      <c r="G29" s="5"/>
      <c r="H29" s="7"/>
      <c r="I29" s="5"/>
      <c r="J29" s="7"/>
    </row>
    <row r="30" spans="1:14">
      <c r="A30" s="11"/>
      <c r="B30" s="20"/>
      <c r="C30" s="21"/>
      <c r="D30" s="13"/>
      <c r="E30" s="22"/>
      <c r="F30" s="23"/>
      <c r="G30" s="19"/>
      <c r="H30" s="13"/>
      <c r="I30" s="19"/>
      <c r="J30" s="13"/>
      <c r="K30" s="11"/>
      <c r="L30" s="11"/>
      <c r="M30" s="11"/>
      <c r="N30" s="11"/>
    </row>
    <row r="31" spans="1:14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1:14" ht="4.5" customHeight="1">
      <c r="E32" s="5"/>
      <c r="F32" s="7"/>
      <c r="H32" s="7"/>
      <c r="I32" s="5"/>
      <c r="J32" s="7"/>
    </row>
    <row r="33" spans="1:14" ht="12.6">
      <c r="A33" s="11"/>
      <c r="B33" s="40"/>
      <c r="C33" s="12"/>
      <c r="D33" s="12"/>
      <c r="E33" s="14"/>
      <c r="F33" s="13"/>
      <c r="G33" s="12"/>
      <c r="H33" s="13"/>
      <c r="I33" s="14"/>
      <c r="J33" s="13"/>
      <c r="K33" s="11"/>
      <c r="L33" s="11"/>
      <c r="M33" s="11"/>
      <c r="N33" s="11"/>
    </row>
    <row r="34" spans="1:14" ht="8.25" customHeight="1"/>
    <row r="35" spans="1:14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1:14">
      <c r="B36" s="1" t="s">
        <v>36</v>
      </c>
      <c r="C36" s="7"/>
      <c r="D36" s="28"/>
      <c r="E36" s="5" t="s">
        <v>37</v>
      </c>
      <c r="F36" s="7"/>
      <c r="G36" s="28"/>
      <c r="H36" s="2" t="s">
        <v>38</v>
      </c>
      <c r="I36" s="4"/>
      <c r="J36" s="29"/>
    </row>
    <row r="37" spans="1:14">
      <c r="B37" s="12"/>
      <c r="C37" s="10" t="s">
        <v>109</v>
      </c>
      <c r="D37" s="30">
        <v>0</v>
      </c>
      <c r="E37" s="8"/>
      <c r="F37" s="10"/>
      <c r="G37" s="30">
        <f>D53/3</f>
        <v>0</v>
      </c>
      <c r="H37" s="8"/>
      <c r="I37" s="10"/>
      <c r="J37" s="30"/>
    </row>
    <row r="38" spans="1:14">
      <c r="B38" s="3" t="s">
        <v>39</v>
      </c>
      <c r="C38" s="4"/>
      <c r="D38" s="29"/>
      <c r="E38" s="1" t="s">
        <v>40</v>
      </c>
      <c r="G38" s="29"/>
      <c r="H38" s="2" t="s">
        <v>41</v>
      </c>
      <c r="I38" s="4"/>
      <c r="J38" s="29"/>
    </row>
    <row r="39" spans="1:14">
      <c r="B39" s="12"/>
      <c r="C39" s="10" t="s">
        <v>109</v>
      </c>
      <c r="D39" s="30">
        <f>C30/30*24</f>
        <v>0</v>
      </c>
      <c r="G39" s="30"/>
      <c r="H39" s="8" t="s">
        <v>110</v>
      </c>
      <c r="I39" s="10"/>
      <c r="J39" s="30"/>
    </row>
    <row r="40" spans="1:14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  <c r="N40" s="31"/>
    </row>
    <row r="41" spans="1:14">
      <c r="B41" s="12"/>
      <c r="C41" s="10" t="s">
        <v>46</v>
      </c>
      <c r="D41" s="30">
        <v>0</v>
      </c>
      <c r="E41" s="14"/>
      <c r="F41" s="10" t="s">
        <v>47</v>
      </c>
      <c r="G41" s="30"/>
      <c r="H41" s="8"/>
      <c r="I41" s="10"/>
      <c r="J41" s="30"/>
      <c r="N41" s="31"/>
    </row>
    <row r="42" spans="1:14">
      <c r="B42" s="3" t="s">
        <v>49</v>
      </c>
      <c r="C42" s="4"/>
      <c r="D42" s="29"/>
      <c r="E42" s="2" t="s">
        <v>50</v>
      </c>
      <c r="F42" s="4"/>
      <c r="G42" s="29"/>
      <c r="H42" s="2" t="s">
        <v>51</v>
      </c>
      <c r="I42" s="4"/>
      <c r="J42" s="29"/>
    </row>
    <row r="43" spans="1:14">
      <c r="B43" s="12"/>
      <c r="C43" s="10" t="s">
        <v>46</v>
      </c>
      <c r="D43" s="30"/>
      <c r="E43" s="14"/>
      <c r="F43" s="10" t="s">
        <v>47</v>
      </c>
      <c r="G43" s="30"/>
      <c r="H43" s="8"/>
      <c r="I43" s="10"/>
      <c r="J43" s="30"/>
    </row>
    <row r="44" spans="1:14">
      <c r="B44" s="3" t="s">
        <v>52</v>
      </c>
      <c r="C44" s="4"/>
      <c r="D44" s="29"/>
      <c r="E44" s="2" t="s">
        <v>53</v>
      </c>
      <c r="F44" s="32">
        <f>(D37+D41+D43)*8%</f>
        <v>0</v>
      </c>
      <c r="H44" s="2" t="s">
        <v>54</v>
      </c>
      <c r="I44" s="4"/>
      <c r="J44" s="29"/>
    </row>
    <row r="45" spans="1:14">
      <c r="B45" s="12"/>
      <c r="C45" s="10" t="s">
        <v>46</v>
      </c>
      <c r="D45" s="30"/>
      <c r="E45" s="47"/>
      <c r="F45" s="48" t="s">
        <v>191</v>
      </c>
      <c r="G45" s="30"/>
      <c r="H45" s="8"/>
      <c r="I45" s="10"/>
      <c r="J45" s="30"/>
    </row>
    <row r="46" spans="1:14">
      <c r="B46" s="3" t="s">
        <v>57</v>
      </c>
      <c r="C46" s="4"/>
      <c r="D46" s="29"/>
      <c r="E46" s="2" t="s">
        <v>58</v>
      </c>
      <c r="F46" s="4"/>
      <c r="H46" s="2" t="s">
        <v>59</v>
      </c>
      <c r="I46" s="4"/>
      <c r="J46" s="29"/>
    </row>
    <row r="47" spans="1:14">
      <c r="B47" s="12"/>
      <c r="C47" s="10"/>
      <c r="D47" s="30" t="s">
        <v>55</v>
      </c>
      <c r="E47" s="33">
        <v>0.4</v>
      </c>
      <c r="F47" s="10"/>
      <c r="G47" s="30"/>
      <c r="H47" s="8" t="s">
        <v>60</v>
      </c>
      <c r="I47" s="10"/>
      <c r="J47" s="30">
        <v>0</v>
      </c>
    </row>
    <row r="48" spans="1:14">
      <c r="B48" s="3" t="s">
        <v>61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206</v>
      </c>
      <c r="C49" s="10"/>
      <c r="D49" s="30"/>
      <c r="E49" s="8" t="s">
        <v>65</v>
      </c>
      <c r="F49" s="10"/>
      <c r="G49" s="30"/>
      <c r="H49" s="8"/>
      <c r="I49" s="10"/>
      <c r="J49" s="30">
        <v>0</v>
      </c>
    </row>
    <row r="50" spans="2:10">
      <c r="B50" s="3" t="s">
        <v>66</v>
      </c>
      <c r="C50" s="4"/>
      <c r="D50" s="29"/>
      <c r="E50" s="2" t="s">
        <v>67</v>
      </c>
      <c r="F50" s="4"/>
      <c r="G50" s="29"/>
      <c r="H50" s="2" t="s">
        <v>68</v>
      </c>
      <c r="I50" s="4"/>
      <c r="J50" s="29"/>
    </row>
    <row r="51" spans="2:10">
      <c r="B51" s="9"/>
      <c r="C51" s="10"/>
      <c r="D51" s="30">
        <f>D45+D49/3</f>
        <v>0</v>
      </c>
      <c r="E51" s="8"/>
      <c r="F51" s="10"/>
      <c r="G51" s="30" t="s">
        <v>55</v>
      </c>
      <c r="H51" s="8" t="s">
        <v>69</v>
      </c>
      <c r="I51" s="10"/>
      <c r="J51" s="30">
        <f>SUM(J36:J49)</f>
        <v>0</v>
      </c>
    </row>
    <row r="52" spans="2:10">
      <c r="B52" s="3" t="s">
        <v>70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207</v>
      </c>
      <c r="C53" s="10"/>
      <c r="D53" s="30"/>
      <c r="E53" s="8"/>
      <c r="F53" s="10"/>
      <c r="G53" s="35">
        <f>D37+D39+D41+D43+D45+D49+D51+D53+G37+G45+G47</f>
        <v>0</v>
      </c>
      <c r="H53" s="8"/>
      <c r="I53" s="10"/>
      <c r="J53" s="30">
        <f>G53-J51</f>
        <v>0</v>
      </c>
    </row>
    <row r="54" spans="2:10" ht="8.25" customHeight="1">
      <c r="D54" s="36">
        <f>SUM(D36:D53)</f>
        <v>0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84513888888888899" bottom="2.9861111111111099E-2" header="0.511811023622047" footer="0.511811023622047"/>
  <pageSetup paperSize="9" scale="94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4"/>
  <sheetViews>
    <sheetView topLeftCell="A20" zoomScaleNormal="100" workbookViewId="0">
      <selection activeCell="O23" sqref="O23"/>
    </sheetView>
  </sheetViews>
  <sheetFormatPr defaultColWidth="9.140625" defaultRowHeight="11.25" customHeight="1"/>
  <cols>
    <col min="1" max="1" width="7.5703125" style="1" customWidth="1"/>
    <col min="2" max="2" width="12" style="1" customWidth="1"/>
    <col min="3" max="3" width="10.28515625" style="1" customWidth="1"/>
    <col min="4" max="4" width="8.5703125" style="1" customWidth="1"/>
    <col min="5" max="5" width="9.42578125" style="1" customWidth="1"/>
    <col min="6" max="6" width="11" style="1" customWidth="1"/>
    <col min="7" max="7" width="8.7109375" style="1" customWidth="1"/>
    <col min="8" max="8" width="9.140625" style="1"/>
    <col min="9" max="9" width="8.7109375" style="1" customWidth="1"/>
    <col min="10" max="10" width="9.28515625" style="1" customWidth="1"/>
    <col min="11" max="14" width="9.140625" style="1"/>
  </cols>
  <sheetData>
    <row r="1" spans="1:14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4" ht="13.9">
      <c r="A2" s="5"/>
      <c r="F2" s="6" t="s">
        <v>0</v>
      </c>
      <c r="J2" s="7"/>
    </row>
    <row r="3" spans="1:14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4" ht="7.5" customHeight="1"/>
    <row r="5" spans="1:14">
      <c r="B5" s="3" t="s">
        <v>1</v>
      </c>
      <c r="C5" s="4"/>
      <c r="D5" s="2" t="s">
        <v>2</v>
      </c>
      <c r="E5" s="3"/>
      <c r="F5" s="3"/>
      <c r="G5" s="3"/>
      <c r="H5" s="3"/>
      <c r="I5" s="3"/>
      <c r="J5" s="4"/>
    </row>
    <row r="6" spans="1:14" ht="4.5" customHeight="1">
      <c r="C6" s="7"/>
      <c r="D6" s="5"/>
      <c r="J6" s="7"/>
    </row>
    <row r="7" spans="1:14">
      <c r="A7" s="11"/>
      <c r="B7" s="12" t="s">
        <v>208</v>
      </c>
      <c r="C7" s="13"/>
      <c r="D7" s="14" t="s">
        <v>209</v>
      </c>
      <c r="E7" s="12"/>
      <c r="F7" s="12"/>
      <c r="G7" s="12"/>
      <c r="H7" s="11"/>
      <c r="I7" s="12"/>
      <c r="J7" s="13"/>
      <c r="K7" s="11"/>
      <c r="L7" s="11"/>
      <c r="M7" s="11"/>
      <c r="N7" s="11"/>
    </row>
    <row r="8" spans="1:14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4" ht="4.5" customHeight="1">
      <c r="I9" s="5"/>
      <c r="J9" s="7"/>
    </row>
    <row r="10" spans="1:14">
      <c r="A10" s="11"/>
      <c r="B10" s="11" t="s">
        <v>210</v>
      </c>
      <c r="C10" s="12"/>
      <c r="D10" s="12"/>
      <c r="E10" s="12"/>
      <c r="F10" s="11"/>
      <c r="G10" s="11"/>
      <c r="H10" s="12"/>
      <c r="I10" s="14" t="s">
        <v>183</v>
      </c>
      <c r="J10" s="13"/>
      <c r="K10" s="11"/>
      <c r="L10" s="11"/>
      <c r="M10" s="11"/>
      <c r="N10" s="11"/>
    </row>
    <row r="11" spans="1:14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4" ht="4.5" customHeight="1">
      <c r="D12" s="7"/>
      <c r="E12" s="5"/>
      <c r="F12" s="5"/>
      <c r="G12" s="7"/>
      <c r="H12" s="7"/>
      <c r="I12" s="5"/>
      <c r="J12" s="7"/>
    </row>
    <row r="13" spans="1:14">
      <c r="A13" s="11"/>
      <c r="B13" s="12" t="s">
        <v>211</v>
      </c>
      <c r="C13" s="12"/>
      <c r="D13" s="13"/>
      <c r="E13" s="16" t="s">
        <v>212</v>
      </c>
      <c r="F13" s="17" t="s">
        <v>213</v>
      </c>
      <c r="G13" s="13"/>
      <c r="H13" s="18" t="s">
        <v>163</v>
      </c>
      <c r="I13" s="14"/>
      <c r="J13" s="13"/>
      <c r="K13" s="11"/>
      <c r="L13" s="11"/>
      <c r="M13" s="11"/>
      <c r="N13" s="11"/>
    </row>
    <row r="14" spans="1:14" ht="7.5" customHeight="1"/>
    <row r="15" spans="1:14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4" ht="4.5" customHeight="1">
      <c r="D16" s="5"/>
      <c r="J16" s="7"/>
    </row>
    <row r="17" spans="1:14" ht="12.75">
      <c r="A17" s="11"/>
      <c r="B17" s="12"/>
      <c r="C17" s="12"/>
      <c r="D17" s="41" t="s">
        <v>214</v>
      </c>
      <c r="E17" s="12"/>
      <c r="F17" s="12"/>
      <c r="G17" s="12"/>
      <c r="H17" s="11"/>
      <c r="I17" s="12"/>
      <c r="J17" s="13"/>
      <c r="K17" s="11"/>
      <c r="L17" s="11"/>
      <c r="M17" s="11"/>
      <c r="N17" s="11"/>
    </row>
    <row r="18" spans="1:14">
      <c r="B18" s="3" t="s">
        <v>15</v>
      </c>
      <c r="C18" s="3"/>
      <c r="H18" s="3"/>
      <c r="I18" s="2" t="s">
        <v>16</v>
      </c>
      <c r="J18" s="4"/>
    </row>
    <row r="19" spans="1:14" ht="3.75" customHeight="1">
      <c r="I19" s="5"/>
      <c r="J19" s="7"/>
    </row>
    <row r="20" spans="1:14">
      <c r="A20" s="11"/>
      <c r="B20" s="11"/>
      <c r="C20" s="12"/>
      <c r="D20" s="12"/>
      <c r="E20" s="12"/>
      <c r="F20" s="11"/>
      <c r="G20" s="11"/>
      <c r="H20" s="12"/>
      <c r="I20" s="12"/>
      <c r="J20" s="13"/>
      <c r="K20" s="11"/>
      <c r="L20" s="11"/>
      <c r="M20" s="11"/>
      <c r="N20" s="11"/>
    </row>
    <row r="21" spans="1:14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1:14" ht="4.5" customHeight="1">
      <c r="E22" s="5"/>
      <c r="F22" s="5"/>
      <c r="G22" s="7"/>
      <c r="H22" s="5"/>
      <c r="J22" s="7"/>
    </row>
    <row r="23" spans="1:14">
      <c r="A23" s="11"/>
      <c r="B23" s="12" t="s">
        <v>211</v>
      </c>
      <c r="C23" s="12"/>
      <c r="D23" s="12"/>
      <c r="E23" s="16" t="s">
        <v>212</v>
      </c>
      <c r="F23" s="14" t="s">
        <v>213</v>
      </c>
      <c r="G23" s="13"/>
      <c r="H23" s="14" t="s">
        <v>215</v>
      </c>
      <c r="I23" s="12"/>
      <c r="J23" s="13"/>
      <c r="K23" s="11"/>
      <c r="L23" s="11"/>
      <c r="M23" s="11"/>
      <c r="N23" s="11"/>
    </row>
    <row r="24" spans="1:14">
      <c r="B24" s="3" t="s">
        <v>21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1:14" ht="4.5" customHeight="1">
      <c r="D25" s="5"/>
      <c r="E25" s="7"/>
      <c r="F25" s="5"/>
      <c r="J25" s="7"/>
    </row>
    <row r="26" spans="1:14">
      <c r="A26" s="11"/>
      <c r="B26" s="59" t="s">
        <v>216</v>
      </c>
      <c r="C26" s="12"/>
      <c r="D26" s="19">
        <v>36520</v>
      </c>
      <c r="E26" s="13"/>
      <c r="F26" s="39" t="s">
        <v>217</v>
      </c>
      <c r="G26" s="12"/>
      <c r="H26" s="12"/>
      <c r="I26" s="12"/>
      <c r="J26" s="13"/>
      <c r="K26" s="11"/>
      <c r="L26" s="11"/>
      <c r="M26" s="11"/>
      <c r="N26" s="11"/>
    </row>
    <row r="27" spans="1:14" ht="7.5" customHeight="1">
      <c r="F27" s="1" t="s">
        <v>205</v>
      </c>
    </row>
    <row r="28" spans="1:14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1:14" ht="3.75" customHeight="1">
      <c r="D29" s="7"/>
      <c r="E29" s="5"/>
      <c r="F29" s="7"/>
      <c r="G29" s="5"/>
      <c r="H29" s="7"/>
      <c r="I29" s="5"/>
      <c r="J29" s="7"/>
    </row>
    <row r="30" spans="1:14">
      <c r="A30" s="11"/>
      <c r="B30" s="20" t="s">
        <v>28</v>
      </c>
      <c r="C30" s="21">
        <v>1621</v>
      </c>
      <c r="D30" s="13"/>
      <c r="E30" s="22">
        <v>46369</v>
      </c>
      <c r="F30" s="23"/>
      <c r="G30" s="19"/>
      <c r="H30" s="13"/>
      <c r="I30" s="19">
        <v>46197</v>
      </c>
      <c r="J30" s="13"/>
      <c r="K30" s="11"/>
      <c r="L30" s="11"/>
      <c r="M30" s="11"/>
      <c r="N30" s="11"/>
    </row>
    <row r="31" spans="1:14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1:14" ht="4.5" customHeight="1">
      <c r="E32" s="5"/>
      <c r="F32" s="7"/>
      <c r="H32" s="7"/>
      <c r="I32" s="5"/>
      <c r="J32" s="7"/>
    </row>
    <row r="33" spans="1:14" ht="12.6">
      <c r="A33" s="11"/>
      <c r="B33" s="40" t="s">
        <v>166</v>
      </c>
      <c r="C33" s="12"/>
      <c r="D33" s="12"/>
      <c r="E33" s="14" t="s">
        <v>107</v>
      </c>
      <c r="F33" s="13"/>
      <c r="G33" s="12"/>
      <c r="H33" s="13"/>
      <c r="I33" s="14"/>
      <c r="J33" s="13"/>
      <c r="K33" s="11"/>
      <c r="L33" s="11"/>
      <c r="M33" s="11"/>
      <c r="N33" s="11"/>
    </row>
    <row r="34" spans="1:14" ht="8.25" customHeight="1"/>
    <row r="35" spans="1:14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1:14">
      <c r="B36" s="1" t="s">
        <v>36</v>
      </c>
      <c r="C36" s="7"/>
      <c r="D36" s="28"/>
      <c r="E36" s="5" t="s">
        <v>37</v>
      </c>
      <c r="F36" s="7"/>
      <c r="G36" s="28"/>
      <c r="H36" s="2" t="s">
        <v>38</v>
      </c>
      <c r="I36" s="4"/>
      <c r="J36" s="29"/>
    </row>
    <row r="37" spans="1:14">
      <c r="B37" s="12">
        <v>0</v>
      </c>
      <c r="C37" s="10" t="s">
        <v>109</v>
      </c>
      <c r="D37" s="30">
        <v>0</v>
      </c>
      <c r="E37" s="8"/>
      <c r="F37" s="10"/>
      <c r="G37" s="30">
        <f>D53/3</f>
        <v>0</v>
      </c>
      <c r="H37" s="8"/>
      <c r="I37" s="10"/>
      <c r="J37" s="30"/>
    </row>
    <row r="38" spans="1:14">
      <c r="B38" s="3" t="s">
        <v>39</v>
      </c>
      <c r="C38" s="4"/>
      <c r="D38" s="29"/>
      <c r="E38" s="1" t="s">
        <v>40</v>
      </c>
      <c r="G38" s="29"/>
      <c r="H38" s="2" t="s">
        <v>41</v>
      </c>
      <c r="I38" s="4"/>
      <c r="J38" s="29"/>
    </row>
    <row r="39" spans="1:14">
      <c r="B39" s="12">
        <v>24</v>
      </c>
      <c r="C39" s="10" t="s">
        <v>109</v>
      </c>
      <c r="D39" s="30">
        <f>C30/30*24</f>
        <v>1296.8</v>
      </c>
      <c r="G39" s="30"/>
      <c r="H39" s="8" t="s">
        <v>110</v>
      </c>
      <c r="I39" s="10"/>
      <c r="J39" s="30"/>
    </row>
    <row r="40" spans="1:14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  <c r="N40" s="31"/>
    </row>
    <row r="41" spans="1:14">
      <c r="B41" s="12"/>
      <c r="C41" s="10" t="s">
        <v>218</v>
      </c>
      <c r="D41" s="30">
        <v>675.41</v>
      </c>
      <c r="E41" s="14"/>
      <c r="F41" s="10" t="s">
        <v>47</v>
      </c>
      <c r="G41" s="30"/>
      <c r="H41" s="8"/>
      <c r="I41" s="10"/>
      <c r="J41" s="30"/>
      <c r="N41" s="31"/>
    </row>
    <row r="42" spans="1:14">
      <c r="B42" s="3" t="s">
        <v>49</v>
      </c>
      <c r="C42" s="4"/>
      <c r="D42" s="29"/>
      <c r="E42" s="2" t="s">
        <v>50</v>
      </c>
      <c r="F42" s="4"/>
      <c r="G42" s="29"/>
      <c r="H42" s="2" t="s">
        <v>51</v>
      </c>
      <c r="I42" s="4"/>
      <c r="J42" s="29"/>
    </row>
    <row r="43" spans="1:14">
      <c r="B43" s="12"/>
      <c r="C43" s="10" t="s">
        <v>46</v>
      </c>
      <c r="D43" s="30"/>
      <c r="E43" s="14"/>
      <c r="F43" s="10" t="s">
        <v>47</v>
      </c>
      <c r="G43" s="30"/>
      <c r="H43" s="8"/>
      <c r="I43" s="10"/>
      <c r="J43" s="30"/>
    </row>
    <row r="44" spans="1:14">
      <c r="B44" s="3" t="s">
        <v>52</v>
      </c>
      <c r="C44" s="4"/>
      <c r="D44" s="29"/>
      <c r="E44" s="2" t="s">
        <v>53</v>
      </c>
      <c r="F44" s="32">
        <f>(D37+D41+D43)*8%</f>
        <v>54.032800000000002</v>
      </c>
      <c r="H44" s="2" t="s">
        <v>54</v>
      </c>
      <c r="I44" s="4"/>
      <c r="J44" s="29"/>
    </row>
    <row r="45" spans="1:14">
      <c r="B45" s="12"/>
      <c r="C45" s="10" t="s">
        <v>46</v>
      </c>
      <c r="D45" s="30"/>
      <c r="E45" s="47"/>
      <c r="F45" s="48" t="s">
        <v>191</v>
      </c>
      <c r="G45" s="30"/>
      <c r="H45" s="8"/>
      <c r="I45" s="10"/>
      <c r="J45" s="30"/>
    </row>
    <row r="46" spans="1:14">
      <c r="B46" s="3" t="s">
        <v>57</v>
      </c>
      <c r="C46" s="4"/>
      <c r="D46" s="29"/>
      <c r="E46" s="2" t="s">
        <v>58</v>
      </c>
      <c r="F46" s="4"/>
      <c r="H46" s="2" t="s">
        <v>59</v>
      </c>
      <c r="I46" s="4"/>
      <c r="J46" s="29"/>
    </row>
    <row r="47" spans="1:14">
      <c r="B47" s="12"/>
      <c r="C47" s="10"/>
      <c r="D47" s="30" t="s">
        <v>55</v>
      </c>
      <c r="E47" s="33">
        <v>0.4</v>
      </c>
      <c r="F47" s="10"/>
      <c r="G47" s="30"/>
      <c r="H47" s="8" t="s">
        <v>60</v>
      </c>
      <c r="I47" s="10"/>
      <c r="J47" s="30">
        <v>0</v>
      </c>
    </row>
    <row r="48" spans="1:14">
      <c r="B48" s="3" t="s">
        <v>61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219</v>
      </c>
      <c r="C49" s="10"/>
      <c r="D49" s="30">
        <v>540.33000000000004</v>
      </c>
      <c r="E49" s="8" t="s">
        <v>65</v>
      </c>
      <c r="F49" s="10"/>
      <c r="G49" s="30"/>
      <c r="H49" s="8"/>
      <c r="I49" s="10"/>
      <c r="J49" s="30">
        <v>0</v>
      </c>
    </row>
    <row r="50" spans="2:10">
      <c r="B50" s="3" t="s">
        <v>66</v>
      </c>
      <c r="C50" s="4"/>
      <c r="D50" s="29"/>
      <c r="E50" s="2" t="s">
        <v>67</v>
      </c>
      <c r="F50" s="4"/>
      <c r="G50" s="29"/>
      <c r="H50" s="2" t="s">
        <v>68</v>
      </c>
      <c r="I50" s="4"/>
      <c r="J50" s="29"/>
    </row>
    <row r="51" spans="2:10">
      <c r="B51" s="9"/>
      <c r="C51" s="10"/>
      <c r="D51" s="30">
        <f>D45+D49/3</f>
        <v>180.11</v>
      </c>
      <c r="E51" s="8"/>
      <c r="F51" s="10"/>
      <c r="G51" s="30" t="s">
        <v>55</v>
      </c>
      <c r="H51" s="8" t="s">
        <v>69</v>
      </c>
      <c r="I51" s="10"/>
      <c r="J51" s="30">
        <f>SUM(J36:J49)</f>
        <v>0</v>
      </c>
    </row>
    <row r="52" spans="2:10">
      <c r="B52" s="3" t="s">
        <v>70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207</v>
      </c>
      <c r="C53" s="10"/>
      <c r="D53" s="30"/>
      <c r="E53" s="8"/>
      <c r="F53" s="10"/>
      <c r="G53" s="35">
        <f>D37+D39+D41+D43+D45+D49+D51+D53+G37+G45+G47</f>
        <v>2692.65</v>
      </c>
      <c r="H53" s="8"/>
      <c r="I53" s="10"/>
      <c r="J53" s="30">
        <f>G53-J51</f>
        <v>2692.65</v>
      </c>
    </row>
    <row r="54" spans="2:10" ht="8.25" customHeight="1">
      <c r="D54" s="36">
        <f>SUM(D36:D53)</f>
        <v>2692.65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84513888888888899" bottom="2.9861111111111099E-2" header="0.511811023622047" footer="0.511811023622047"/>
  <pageSetup paperSize="9" scale="94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4"/>
  <sheetViews>
    <sheetView zoomScaleNormal="100" workbookViewId="0">
      <selection activeCell="B7" activeCellId="2" sqref="G45 G49 B7"/>
    </sheetView>
  </sheetViews>
  <sheetFormatPr defaultColWidth="9.140625" defaultRowHeight="11.25" customHeight="1"/>
  <cols>
    <col min="1" max="1" width="7.5703125" style="1" customWidth="1"/>
    <col min="2" max="2" width="10.42578125" style="1" customWidth="1"/>
    <col min="3" max="3" width="9.42578125" style="1" customWidth="1"/>
    <col min="4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220</v>
      </c>
      <c r="C5" s="4"/>
      <c r="D5" s="2" t="s">
        <v>221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 ht="11.45">
      <c r="B7" s="50" t="s">
        <v>222</v>
      </c>
      <c r="C7" s="13"/>
      <c r="D7" s="50" t="s">
        <v>223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C10" s="12"/>
      <c r="D10" s="12"/>
      <c r="E10" s="12"/>
      <c r="H10" s="12"/>
      <c r="I10" s="14" t="s">
        <v>174</v>
      </c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224</v>
      </c>
      <c r="C13" s="12"/>
      <c r="D13" s="13"/>
      <c r="E13" s="16" t="s">
        <v>140</v>
      </c>
      <c r="F13" s="14"/>
      <c r="G13" s="13"/>
      <c r="H13" s="18"/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 ht="11.45">
      <c r="B17" s="12"/>
      <c r="C17" s="12"/>
      <c r="D17" s="50" t="s">
        <v>225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2"/>
      <c r="C20" s="12"/>
      <c r="D20" s="12"/>
      <c r="E20" s="12"/>
      <c r="H20" s="12"/>
      <c r="I20" s="14" t="s">
        <v>174</v>
      </c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 t="s">
        <v>224</v>
      </c>
      <c r="C23" s="12"/>
      <c r="D23" s="12"/>
      <c r="E23" s="16" t="s">
        <v>140</v>
      </c>
      <c r="F23" s="14"/>
      <c r="G23" s="13"/>
      <c r="H23" s="14"/>
      <c r="I23" s="12"/>
      <c r="J23" s="13"/>
    </row>
    <row r="24" spans="2:10">
      <c r="B24" s="3" t="s">
        <v>226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12" t="s">
        <v>227</v>
      </c>
      <c r="C26" s="12"/>
      <c r="D26" s="19"/>
      <c r="E26" s="13"/>
      <c r="F26" s="14"/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1099</v>
      </c>
      <c r="D30" s="13"/>
      <c r="E30" s="22">
        <v>43938</v>
      </c>
      <c r="F30" s="23"/>
      <c r="G30" s="19"/>
      <c r="H30" s="13"/>
      <c r="I30" s="19">
        <v>43997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0" s="11" customFormat="1">
      <c r="B33" s="12" t="s">
        <v>228</v>
      </c>
      <c r="C33" s="12"/>
      <c r="D33" s="12"/>
      <c r="E33" s="14"/>
      <c r="F33" s="13"/>
      <c r="G33" s="12"/>
      <c r="H33" s="13"/>
      <c r="I33" s="14" t="s">
        <v>33</v>
      </c>
      <c r="J33" s="13"/>
    </row>
    <row r="34" spans="2:10" ht="8.25" customHeight="1"/>
    <row r="35" spans="2:10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0">
      <c r="B36" s="1" t="s">
        <v>229</v>
      </c>
      <c r="C36" s="7"/>
      <c r="D36" s="28"/>
      <c r="E36" s="5" t="s">
        <v>230</v>
      </c>
      <c r="F36" s="7"/>
      <c r="G36" s="28"/>
      <c r="H36" s="2" t="s">
        <v>38</v>
      </c>
      <c r="I36" s="4"/>
      <c r="J36" s="29"/>
    </row>
    <row r="37" spans="2:10">
      <c r="B37" s="9" t="s">
        <v>231</v>
      </c>
      <c r="C37" s="10"/>
      <c r="D37" s="30">
        <v>0</v>
      </c>
      <c r="E37" s="8" t="s">
        <v>232</v>
      </c>
      <c r="F37" s="10"/>
      <c r="G37" s="30">
        <v>0</v>
      </c>
      <c r="H37" s="8"/>
      <c r="I37" s="10"/>
      <c r="J37" s="30">
        <v>0</v>
      </c>
    </row>
    <row r="38" spans="2:10">
      <c r="B38" s="3" t="s">
        <v>39</v>
      </c>
      <c r="C38" s="4"/>
      <c r="D38" s="29"/>
      <c r="E38" s="1" t="s">
        <v>233</v>
      </c>
      <c r="G38" s="29"/>
      <c r="H38" s="2" t="s">
        <v>41</v>
      </c>
      <c r="I38" s="4"/>
      <c r="J38" s="29"/>
    </row>
    <row r="39" spans="2:10">
      <c r="B39" s="12">
        <v>15</v>
      </c>
      <c r="C39" s="10" t="s">
        <v>109</v>
      </c>
      <c r="D39" s="30">
        <v>549.5</v>
      </c>
      <c r="G39" s="30"/>
      <c r="H39" s="8" t="s">
        <v>42</v>
      </c>
      <c r="I39" s="10"/>
      <c r="J39" s="30">
        <v>0</v>
      </c>
    </row>
    <row r="40" spans="2:10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</row>
    <row r="41" spans="2:10">
      <c r="B41" s="12">
        <v>2</v>
      </c>
      <c r="C41" s="10" t="s">
        <v>46</v>
      </c>
      <c r="D41" s="30">
        <f>C30/12*2</f>
        <v>183.16666666666666</v>
      </c>
      <c r="E41" s="8"/>
      <c r="F41" s="10" t="s">
        <v>47</v>
      </c>
      <c r="G41" s="30">
        <v>0</v>
      </c>
      <c r="H41" s="8"/>
      <c r="I41" s="10"/>
      <c r="J41" s="30">
        <v>0</v>
      </c>
    </row>
    <row r="42" spans="2:10">
      <c r="B42" s="3" t="s">
        <v>49</v>
      </c>
      <c r="C42" s="4"/>
      <c r="D42" s="29"/>
      <c r="E42" s="2" t="s">
        <v>234</v>
      </c>
      <c r="F42" s="4"/>
      <c r="G42" s="29"/>
      <c r="H42" s="2" t="s">
        <v>51</v>
      </c>
      <c r="I42" s="4"/>
      <c r="J42" s="29"/>
    </row>
    <row r="43" spans="2:10">
      <c r="B43" s="12">
        <v>0</v>
      </c>
      <c r="C43" s="10" t="s">
        <v>46</v>
      </c>
      <c r="D43" s="30">
        <v>0</v>
      </c>
      <c r="E43" s="8" t="s">
        <v>235</v>
      </c>
      <c r="F43" s="10"/>
      <c r="G43" s="30">
        <v>0</v>
      </c>
      <c r="H43" s="8"/>
      <c r="I43" s="10"/>
      <c r="J43" s="30">
        <v>0</v>
      </c>
    </row>
    <row r="44" spans="2:10">
      <c r="B44" s="3" t="s">
        <v>52</v>
      </c>
      <c r="C44" s="4"/>
      <c r="D44" s="29"/>
      <c r="E44" s="2" t="s">
        <v>53</v>
      </c>
      <c r="F44" s="51">
        <f>(D37+D41+D43)*8%</f>
        <v>14.653333333333332</v>
      </c>
      <c r="H44" s="2" t="s">
        <v>54</v>
      </c>
      <c r="I44" s="4"/>
      <c r="J44" s="29"/>
    </row>
    <row r="45" spans="2:10">
      <c r="B45" s="12">
        <v>0</v>
      </c>
      <c r="C45" s="10" t="s">
        <v>46</v>
      </c>
      <c r="D45" s="30">
        <f>(C30/12)*B45</f>
        <v>0</v>
      </c>
      <c r="E45" s="14"/>
      <c r="F45" s="10" t="s">
        <v>56</v>
      </c>
      <c r="G45" s="30"/>
      <c r="H45" s="8" t="s">
        <v>236</v>
      </c>
      <c r="I45" s="10"/>
      <c r="J45" s="30">
        <v>0</v>
      </c>
    </row>
    <row r="46" spans="2:10">
      <c r="B46" s="3" t="s">
        <v>237</v>
      </c>
      <c r="C46" s="4"/>
      <c r="D46" s="29"/>
      <c r="E46" s="2" t="s">
        <v>58</v>
      </c>
      <c r="F46" s="4"/>
      <c r="G46" s="29"/>
      <c r="H46" s="2" t="s">
        <v>59</v>
      </c>
      <c r="I46" s="4"/>
      <c r="J46" s="29"/>
    </row>
    <row r="47" spans="2:10">
      <c r="B47" s="12">
        <v>2</v>
      </c>
      <c r="C47" s="10" t="s">
        <v>238</v>
      </c>
      <c r="D47" s="30">
        <f>C30/12*2</f>
        <v>183.16666666666666</v>
      </c>
      <c r="E47" s="33">
        <v>0.4</v>
      </c>
      <c r="F47" s="10"/>
      <c r="G47" s="30">
        <v>0</v>
      </c>
      <c r="H47" s="8" t="s">
        <v>239</v>
      </c>
      <c r="I47" s="10"/>
      <c r="J47" s="30">
        <v>0</v>
      </c>
    </row>
    <row r="48" spans="2:10">
      <c r="B48" s="3" t="s">
        <v>240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241</v>
      </c>
      <c r="C49" s="10"/>
      <c r="D49" s="30">
        <f>D47/3</f>
        <v>61.05555555555555</v>
      </c>
      <c r="E49" s="8" t="s">
        <v>65</v>
      </c>
      <c r="F49" s="10"/>
      <c r="G49" s="30"/>
      <c r="H49" s="8"/>
      <c r="I49" s="10"/>
      <c r="J49" s="30">
        <v>0</v>
      </c>
    </row>
    <row r="50" spans="2:10">
      <c r="B50" s="3" t="s">
        <v>242</v>
      </c>
      <c r="C50" s="4"/>
      <c r="D50" s="29"/>
      <c r="E50" s="2" t="s">
        <v>243</v>
      </c>
      <c r="F50" s="4"/>
      <c r="G50" s="29"/>
      <c r="H50" s="2" t="s">
        <v>68</v>
      </c>
      <c r="I50" s="4"/>
      <c r="J50" s="29"/>
    </row>
    <row r="51" spans="2:10">
      <c r="B51" s="9"/>
      <c r="C51" s="10" t="s">
        <v>109</v>
      </c>
      <c r="D51" s="30">
        <v>0</v>
      </c>
      <c r="E51" s="8" t="s">
        <v>244</v>
      </c>
      <c r="F51" s="10"/>
      <c r="G51" s="30">
        <v>0</v>
      </c>
      <c r="H51" s="8" t="s">
        <v>69</v>
      </c>
      <c r="I51" s="10"/>
      <c r="J51" s="30">
        <f>SUM(J36:J49)</f>
        <v>0</v>
      </c>
    </row>
    <row r="52" spans="2:10">
      <c r="B52" s="3" t="s">
        <v>245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246</v>
      </c>
      <c r="C53" s="10"/>
      <c r="D53" s="30">
        <v>0</v>
      </c>
      <c r="E53" s="8"/>
      <c r="F53" s="10"/>
      <c r="G53" s="30">
        <f>SUM(G36:G51)+D54</f>
        <v>976.8888888888888</v>
      </c>
      <c r="H53" s="8"/>
      <c r="I53" s="10"/>
      <c r="J53" s="30">
        <f>(G53-J51)</f>
        <v>976.8888888888888</v>
      </c>
    </row>
    <row r="54" spans="2:10" ht="8.25" customHeight="1">
      <c r="D54" s="36">
        <f>SUM(D36:D53)</f>
        <v>976.8888888888888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25" bottom="2.9861111111111099E-2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4"/>
  <sheetViews>
    <sheetView zoomScaleNormal="100" workbookViewId="0">
      <selection activeCell="G39" activeCellId="2" sqref="G45 G49 G39"/>
    </sheetView>
  </sheetViews>
  <sheetFormatPr defaultColWidth="9.140625" defaultRowHeight="11.25" customHeight="1"/>
  <cols>
    <col min="1" max="1" width="7.5703125" style="1" customWidth="1"/>
    <col min="2" max="2" width="10.42578125" style="1" customWidth="1"/>
    <col min="3" max="3" width="9.42578125" style="1" customWidth="1"/>
    <col min="4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247</v>
      </c>
      <c r="C5" s="4"/>
      <c r="D5" s="2" t="s">
        <v>221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248</v>
      </c>
      <c r="C7" s="13"/>
      <c r="D7" s="14" t="s">
        <v>249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B10" s="11" t="s">
        <v>250</v>
      </c>
      <c r="C10" s="12"/>
      <c r="D10" s="12"/>
      <c r="E10" s="12"/>
      <c r="H10" s="12"/>
      <c r="I10" s="14" t="s">
        <v>174</v>
      </c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251</v>
      </c>
      <c r="C13" s="12"/>
      <c r="D13" s="13"/>
      <c r="E13" s="16" t="s">
        <v>161</v>
      </c>
      <c r="F13" s="14"/>
      <c r="G13" s="13"/>
      <c r="H13" s="18"/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 t="s">
        <v>252</v>
      </c>
      <c r="C17" s="12"/>
      <c r="D17" s="14" t="s">
        <v>253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2"/>
      <c r="C20" s="12"/>
      <c r="D20" s="12"/>
      <c r="E20" s="12"/>
      <c r="H20" s="12"/>
      <c r="I20" s="14"/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 t="s">
        <v>251</v>
      </c>
      <c r="C23" s="12"/>
      <c r="D23" s="12"/>
      <c r="E23" s="16" t="s">
        <v>161</v>
      </c>
      <c r="F23" s="14"/>
      <c r="G23" s="13"/>
      <c r="H23" s="14"/>
      <c r="I23" s="12"/>
      <c r="J23" s="13"/>
    </row>
    <row r="24" spans="2:10">
      <c r="B24" s="3" t="s">
        <v>226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12"/>
      <c r="C26" s="12"/>
      <c r="D26" s="19"/>
      <c r="E26" s="13"/>
      <c r="F26" s="14"/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1200</v>
      </c>
      <c r="D30" s="13"/>
      <c r="E30" s="22">
        <v>43999</v>
      </c>
      <c r="F30" s="23"/>
      <c r="G30" s="19"/>
      <c r="H30" s="13"/>
      <c r="I30" s="19">
        <v>44182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0" s="11" customFormat="1">
      <c r="B33" s="12" t="s">
        <v>228</v>
      </c>
      <c r="C33" s="12"/>
      <c r="D33" s="12"/>
      <c r="E33" s="14"/>
      <c r="F33" s="13"/>
      <c r="G33" s="12"/>
      <c r="H33" s="13"/>
      <c r="I33" s="14" t="s">
        <v>33</v>
      </c>
      <c r="J33" s="13"/>
    </row>
    <row r="34" spans="2:10" ht="8.25" customHeight="1"/>
    <row r="35" spans="2:10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0">
      <c r="B36" s="1" t="s">
        <v>229</v>
      </c>
      <c r="C36" s="7"/>
      <c r="D36" s="28"/>
      <c r="E36" s="5" t="s">
        <v>230</v>
      </c>
      <c r="F36" s="7"/>
      <c r="G36" s="28"/>
      <c r="H36" s="2" t="s">
        <v>38</v>
      </c>
      <c r="I36" s="4"/>
      <c r="J36" s="29"/>
    </row>
    <row r="37" spans="2:10">
      <c r="B37" s="9" t="s">
        <v>231</v>
      </c>
      <c r="C37" s="10"/>
      <c r="D37" s="30">
        <v>0</v>
      </c>
      <c r="E37" s="8" t="s">
        <v>232</v>
      </c>
      <c r="F37" s="10"/>
      <c r="G37" s="30">
        <v>0</v>
      </c>
      <c r="H37" s="8"/>
      <c r="I37" s="10"/>
      <c r="J37" s="30">
        <v>0</v>
      </c>
    </row>
    <row r="38" spans="2:10">
      <c r="B38" s="3" t="s">
        <v>39</v>
      </c>
      <c r="C38" s="4"/>
      <c r="D38" s="29"/>
      <c r="E38" s="1" t="s">
        <v>233</v>
      </c>
      <c r="G38" s="29"/>
      <c r="H38" s="2" t="s">
        <v>41</v>
      </c>
      <c r="I38" s="4"/>
      <c r="J38" s="29"/>
    </row>
    <row r="39" spans="2:10">
      <c r="B39" s="12">
        <v>2</v>
      </c>
      <c r="C39" s="10" t="s">
        <v>109</v>
      </c>
      <c r="D39" s="30">
        <v>80</v>
      </c>
      <c r="G39" s="30"/>
      <c r="H39" s="8" t="s">
        <v>42</v>
      </c>
      <c r="I39" s="10"/>
      <c r="J39" s="30">
        <v>0</v>
      </c>
    </row>
    <row r="40" spans="2:10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</row>
    <row r="41" spans="2:10">
      <c r="B41" s="12">
        <v>6</v>
      </c>
      <c r="C41" s="10" t="s">
        <v>46</v>
      </c>
      <c r="D41" s="30">
        <f>C30/12*6</f>
        <v>600</v>
      </c>
      <c r="E41" s="8"/>
      <c r="F41" s="10" t="s">
        <v>47</v>
      </c>
      <c r="G41" s="30">
        <v>0</v>
      </c>
      <c r="H41" s="8"/>
      <c r="I41" s="10"/>
      <c r="J41" s="30">
        <v>0</v>
      </c>
    </row>
    <row r="42" spans="2:10">
      <c r="B42" s="3" t="s">
        <v>49</v>
      </c>
      <c r="C42" s="4"/>
      <c r="D42" s="29"/>
      <c r="E42" s="2" t="s">
        <v>234</v>
      </c>
      <c r="F42" s="4"/>
      <c r="G42" s="29"/>
      <c r="H42" s="2" t="s">
        <v>51</v>
      </c>
      <c r="I42" s="4"/>
      <c r="J42" s="29"/>
    </row>
    <row r="43" spans="2:10">
      <c r="B43" s="12"/>
      <c r="C43" s="10" t="s">
        <v>46</v>
      </c>
      <c r="D43" s="30">
        <v>0</v>
      </c>
      <c r="E43" s="8" t="s">
        <v>235</v>
      </c>
      <c r="F43" s="10"/>
      <c r="G43" s="30">
        <v>0</v>
      </c>
      <c r="H43" s="8"/>
      <c r="I43" s="10"/>
      <c r="J43" s="30">
        <v>0</v>
      </c>
    </row>
    <row r="44" spans="2:10">
      <c r="B44" s="3" t="s">
        <v>52</v>
      </c>
      <c r="C44" s="4"/>
      <c r="D44" s="29"/>
      <c r="E44" s="2" t="s">
        <v>53</v>
      </c>
      <c r="F44" s="51">
        <f>(D37+D41+D43)*8%</f>
        <v>48</v>
      </c>
      <c r="H44" s="2" t="s">
        <v>54</v>
      </c>
      <c r="I44" s="4"/>
      <c r="J44" s="29"/>
    </row>
    <row r="45" spans="2:10">
      <c r="B45" s="12"/>
      <c r="C45" s="10" t="s">
        <v>46</v>
      </c>
      <c r="D45" s="30">
        <f>(C30/12)*B45</f>
        <v>0</v>
      </c>
      <c r="E45" s="14">
        <v>6</v>
      </c>
      <c r="F45" s="10" t="s">
        <v>56</v>
      </c>
      <c r="G45" s="30">
        <v>627.34</v>
      </c>
      <c r="H45" s="8" t="s">
        <v>236</v>
      </c>
      <c r="I45" s="10"/>
      <c r="J45" s="30">
        <v>0</v>
      </c>
    </row>
    <row r="46" spans="2:10">
      <c r="B46" s="3" t="s">
        <v>237</v>
      </c>
      <c r="C46" s="4"/>
      <c r="D46" s="29"/>
      <c r="E46" s="2" t="s">
        <v>58</v>
      </c>
      <c r="F46" s="4"/>
      <c r="G46" s="29"/>
      <c r="H46" s="2" t="s">
        <v>59</v>
      </c>
      <c r="I46" s="4"/>
      <c r="J46" s="29"/>
    </row>
    <row r="47" spans="2:10">
      <c r="B47" s="12">
        <v>6</v>
      </c>
      <c r="C47" s="10" t="s">
        <v>238</v>
      </c>
      <c r="D47" s="30">
        <f>C30/12*6</f>
        <v>600</v>
      </c>
      <c r="E47" s="33">
        <v>0.4</v>
      </c>
      <c r="F47" s="10"/>
      <c r="G47" s="30">
        <v>0</v>
      </c>
      <c r="H47" s="8" t="s">
        <v>239</v>
      </c>
      <c r="I47" s="10"/>
      <c r="J47" s="30">
        <v>0</v>
      </c>
    </row>
    <row r="48" spans="2:10">
      <c r="B48" s="3" t="s">
        <v>240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241</v>
      </c>
      <c r="C49" s="10"/>
      <c r="D49" s="30">
        <f>D47/3</f>
        <v>200</v>
      </c>
      <c r="E49" s="8" t="s">
        <v>65</v>
      </c>
      <c r="F49" s="10"/>
      <c r="G49" s="30"/>
      <c r="H49" s="8"/>
      <c r="I49" s="10"/>
      <c r="J49" s="30">
        <v>0</v>
      </c>
    </row>
    <row r="50" spans="2:10">
      <c r="B50" s="3" t="s">
        <v>242</v>
      </c>
      <c r="C50" s="4"/>
      <c r="D50" s="29"/>
      <c r="E50" s="2" t="s">
        <v>243</v>
      </c>
      <c r="F50" s="4"/>
      <c r="G50" s="29"/>
      <c r="H50" s="2" t="s">
        <v>68</v>
      </c>
      <c r="I50" s="4"/>
      <c r="J50" s="29"/>
    </row>
    <row r="51" spans="2:10">
      <c r="B51" s="9"/>
      <c r="C51" s="10" t="s">
        <v>109</v>
      </c>
      <c r="D51" s="30">
        <v>0</v>
      </c>
      <c r="E51" s="8" t="s">
        <v>244</v>
      </c>
      <c r="F51" s="10"/>
      <c r="G51" s="30">
        <v>0</v>
      </c>
      <c r="H51" s="8" t="s">
        <v>69</v>
      </c>
      <c r="I51" s="10"/>
      <c r="J51" s="30">
        <f>SUM(J36:J49)</f>
        <v>0</v>
      </c>
    </row>
    <row r="52" spans="2:10">
      <c r="B52" s="3" t="s">
        <v>245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246</v>
      </c>
      <c r="C53" s="10"/>
      <c r="D53" s="30">
        <v>0</v>
      </c>
      <c r="E53" s="8"/>
      <c r="F53" s="10"/>
      <c r="G53" s="30">
        <f>D39+D41+D47+D49+G45</f>
        <v>2107.34</v>
      </c>
      <c r="H53" s="8"/>
      <c r="I53" s="10"/>
      <c r="J53" s="30">
        <f>(G53-J51)</f>
        <v>2107.34</v>
      </c>
    </row>
    <row r="54" spans="2:10" ht="8.25" customHeight="1">
      <c r="D54" s="36">
        <f>SUM(D36:D53)</f>
        <v>1480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25" bottom="2.9861111111111099E-2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4"/>
  <sheetViews>
    <sheetView zoomScaleNormal="100" workbookViewId="0">
      <selection activeCell="G49" activeCellId="1" sqref="G45 G49"/>
    </sheetView>
  </sheetViews>
  <sheetFormatPr defaultColWidth="9.140625" defaultRowHeight="11.25" customHeight="1"/>
  <cols>
    <col min="1" max="1" width="7.5703125" style="1" customWidth="1"/>
    <col min="2" max="2" width="10.42578125" style="1" customWidth="1"/>
    <col min="3" max="3" width="9.42578125" style="1" customWidth="1"/>
    <col min="4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247</v>
      </c>
      <c r="C5" s="4"/>
      <c r="D5" s="2" t="s">
        <v>221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254</v>
      </c>
      <c r="C7" s="13"/>
      <c r="D7" s="14" t="s">
        <v>255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B10" s="11" t="s">
        <v>250</v>
      </c>
      <c r="C10" s="12"/>
      <c r="D10" s="12"/>
      <c r="E10" s="12"/>
      <c r="H10" s="12"/>
      <c r="I10" s="14" t="s">
        <v>174</v>
      </c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251</v>
      </c>
      <c r="C13" s="12"/>
      <c r="D13" s="13"/>
      <c r="E13" s="16" t="s">
        <v>161</v>
      </c>
      <c r="F13" s="14"/>
      <c r="G13" s="13"/>
      <c r="H13" s="18"/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 t="s">
        <v>256</v>
      </c>
      <c r="C17" s="12"/>
      <c r="D17" s="14" t="s">
        <v>257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2"/>
      <c r="C20" s="12"/>
      <c r="D20" s="12"/>
      <c r="E20" s="12"/>
      <c r="H20" s="12"/>
      <c r="I20" s="14" t="s">
        <v>258</v>
      </c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 t="s">
        <v>251</v>
      </c>
      <c r="C23" s="12"/>
      <c r="D23" s="12"/>
      <c r="E23" s="16" t="s">
        <v>161</v>
      </c>
      <c r="F23" s="14"/>
      <c r="G23" s="13"/>
      <c r="H23" s="14"/>
      <c r="I23" s="12"/>
      <c r="J23" s="13"/>
    </row>
    <row r="24" spans="2:10">
      <c r="B24" s="3" t="s">
        <v>226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12" t="s">
        <v>259</v>
      </c>
      <c r="C26" s="12"/>
      <c r="D26" s="19"/>
      <c r="E26" s="13"/>
      <c r="F26" s="14" t="s">
        <v>260</v>
      </c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1203.3699999999999</v>
      </c>
      <c r="D30" s="13"/>
      <c r="E30" s="22">
        <v>43262</v>
      </c>
      <c r="F30" s="23"/>
      <c r="G30" s="19"/>
      <c r="H30" s="13"/>
      <c r="I30" s="19">
        <v>43327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0" s="11" customFormat="1">
      <c r="B33" s="12" t="s">
        <v>228</v>
      </c>
      <c r="C33" s="12"/>
      <c r="D33" s="12"/>
      <c r="E33" s="14"/>
      <c r="F33" s="13"/>
      <c r="G33" s="12"/>
      <c r="H33" s="13"/>
      <c r="I33" s="14" t="s">
        <v>33</v>
      </c>
      <c r="J33" s="13"/>
    </row>
    <row r="34" spans="2:10" ht="8.25" customHeight="1"/>
    <row r="35" spans="2:10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0">
      <c r="B36" s="1" t="s">
        <v>229</v>
      </c>
      <c r="C36" s="7"/>
      <c r="D36" s="28"/>
      <c r="E36" s="5" t="s">
        <v>230</v>
      </c>
      <c r="F36" s="7"/>
      <c r="G36" s="28"/>
      <c r="H36" s="2" t="s">
        <v>38</v>
      </c>
      <c r="I36" s="4"/>
      <c r="J36" s="29"/>
    </row>
    <row r="37" spans="2:10">
      <c r="B37" s="9" t="s">
        <v>231</v>
      </c>
      <c r="C37" s="10"/>
      <c r="D37" s="30">
        <v>0</v>
      </c>
      <c r="E37" s="8" t="s">
        <v>232</v>
      </c>
      <c r="F37" s="10"/>
      <c r="G37" s="30">
        <v>0</v>
      </c>
      <c r="H37" s="8"/>
      <c r="I37" s="10"/>
      <c r="J37" s="30">
        <v>0</v>
      </c>
    </row>
    <row r="38" spans="2:10">
      <c r="B38" s="3" t="s">
        <v>39</v>
      </c>
      <c r="C38" s="4"/>
      <c r="D38" s="29"/>
      <c r="E38" s="1" t="s">
        <v>233</v>
      </c>
      <c r="G38" s="29"/>
      <c r="H38" s="2" t="s">
        <v>41</v>
      </c>
      <c r="I38" s="4"/>
      <c r="J38" s="29"/>
    </row>
    <row r="39" spans="2:10">
      <c r="B39" s="12">
        <v>0</v>
      </c>
      <c r="C39" s="10" t="s">
        <v>109</v>
      </c>
      <c r="D39" s="30">
        <v>0</v>
      </c>
      <c r="G39" s="30"/>
      <c r="H39" s="8" t="s">
        <v>42</v>
      </c>
      <c r="I39" s="10"/>
      <c r="J39" s="30">
        <v>0</v>
      </c>
    </row>
    <row r="40" spans="2:10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</row>
    <row r="41" spans="2:10">
      <c r="B41" s="12">
        <v>3</v>
      </c>
      <c r="C41" s="10" t="s">
        <v>46</v>
      </c>
      <c r="D41" s="30">
        <f>C30/12*3</f>
        <v>300.84249999999997</v>
      </c>
      <c r="E41" s="8"/>
      <c r="F41" s="10" t="s">
        <v>47</v>
      </c>
      <c r="G41" s="30">
        <v>0</v>
      </c>
      <c r="H41" s="8"/>
      <c r="I41" s="10"/>
      <c r="J41" s="30">
        <v>0</v>
      </c>
    </row>
    <row r="42" spans="2:10">
      <c r="B42" s="3" t="s">
        <v>49</v>
      </c>
      <c r="C42" s="4"/>
      <c r="D42" s="29"/>
      <c r="E42" s="2" t="s">
        <v>234</v>
      </c>
      <c r="F42" s="4"/>
      <c r="G42" s="29"/>
      <c r="H42" s="2" t="s">
        <v>51</v>
      </c>
      <c r="I42" s="4"/>
      <c r="J42" s="29"/>
    </row>
    <row r="43" spans="2:10">
      <c r="B43" s="12">
        <v>0</v>
      </c>
      <c r="C43" s="10" t="s">
        <v>46</v>
      </c>
      <c r="D43" s="30">
        <v>0</v>
      </c>
      <c r="E43" s="8" t="s">
        <v>235</v>
      </c>
      <c r="F43" s="10"/>
      <c r="G43" s="30">
        <v>0</v>
      </c>
      <c r="H43" s="8"/>
      <c r="I43" s="10"/>
      <c r="J43" s="30">
        <v>0</v>
      </c>
    </row>
    <row r="44" spans="2:10">
      <c r="B44" s="3" t="s">
        <v>52</v>
      </c>
      <c r="C44" s="4"/>
      <c r="D44" s="29"/>
      <c r="E44" s="2" t="s">
        <v>53</v>
      </c>
      <c r="F44" s="51">
        <f>(D37+D41+D43)*8%</f>
        <v>24.067399999999999</v>
      </c>
      <c r="H44" s="2" t="s">
        <v>54</v>
      </c>
      <c r="I44" s="4"/>
      <c r="J44" s="29"/>
    </row>
    <row r="45" spans="2:10">
      <c r="B45" s="12">
        <v>0</v>
      </c>
      <c r="C45" s="10" t="s">
        <v>46</v>
      </c>
      <c r="D45" s="30">
        <f>(C30/12)*B45</f>
        <v>0</v>
      </c>
      <c r="E45" s="14">
        <v>4</v>
      </c>
      <c r="F45" s="10" t="s">
        <v>56</v>
      </c>
      <c r="G45" s="30">
        <v>191.62</v>
      </c>
      <c r="H45" s="8" t="s">
        <v>236</v>
      </c>
      <c r="I45" s="10"/>
      <c r="J45" s="30">
        <v>0</v>
      </c>
    </row>
    <row r="46" spans="2:10">
      <c r="B46" s="3" t="s">
        <v>237</v>
      </c>
      <c r="C46" s="4"/>
      <c r="D46" s="29"/>
      <c r="E46" s="2" t="s">
        <v>58</v>
      </c>
      <c r="F46" s="4"/>
      <c r="G46" s="29"/>
      <c r="H46" s="2" t="s">
        <v>59</v>
      </c>
      <c r="I46" s="4"/>
      <c r="J46" s="29"/>
    </row>
    <row r="47" spans="2:10">
      <c r="B47" s="12">
        <v>2</v>
      </c>
      <c r="C47" s="10" t="s">
        <v>238</v>
      </c>
      <c r="D47" s="30">
        <f>C30/12*2</f>
        <v>200.56166666666664</v>
      </c>
      <c r="E47" s="33">
        <v>0.4</v>
      </c>
      <c r="F47" s="10"/>
      <c r="G47" s="30">
        <v>0</v>
      </c>
      <c r="H47" s="8" t="s">
        <v>239</v>
      </c>
      <c r="I47" s="10"/>
      <c r="J47" s="30">
        <v>0</v>
      </c>
    </row>
    <row r="48" spans="2:10">
      <c r="B48" s="3" t="s">
        <v>240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241</v>
      </c>
      <c r="C49" s="10"/>
      <c r="D49" s="30">
        <f>D47/3</f>
        <v>66.853888888888875</v>
      </c>
      <c r="E49" s="8" t="s">
        <v>65</v>
      </c>
      <c r="F49" s="10"/>
      <c r="G49" s="30"/>
      <c r="H49" s="8"/>
      <c r="I49" s="10"/>
      <c r="J49" s="30">
        <v>0</v>
      </c>
    </row>
    <row r="50" spans="2:10">
      <c r="B50" s="3" t="s">
        <v>242</v>
      </c>
      <c r="C50" s="4"/>
      <c r="D50" s="29"/>
      <c r="E50" s="2" t="s">
        <v>243</v>
      </c>
      <c r="F50" s="4"/>
      <c r="G50" s="29"/>
      <c r="H50" s="2" t="s">
        <v>68</v>
      </c>
      <c r="I50" s="4"/>
      <c r="J50" s="29"/>
    </row>
    <row r="51" spans="2:10">
      <c r="B51" s="9"/>
      <c r="C51" s="10" t="s">
        <v>109</v>
      </c>
      <c r="D51" s="30">
        <v>0</v>
      </c>
      <c r="E51" s="8" t="s">
        <v>244</v>
      </c>
      <c r="F51" s="10"/>
      <c r="G51" s="30">
        <v>0</v>
      </c>
      <c r="H51" s="8" t="s">
        <v>69</v>
      </c>
      <c r="I51" s="10"/>
      <c r="J51" s="30">
        <f>SUM(J36:J49)</f>
        <v>0</v>
      </c>
    </row>
    <row r="52" spans="2:10">
      <c r="B52" s="3" t="s">
        <v>245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246</v>
      </c>
      <c r="C53" s="10"/>
      <c r="D53" s="30">
        <v>0</v>
      </c>
      <c r="E53" s="8"/>
      <c r="F53" s="10"/>
      <c r="G53" s="30">
        <f>SUM(G36:G51)+D54</f>
        <v>759.87805555555542</v>
      </c>
      <c r="H53" s="8"/>
      <c r="I53" s="10"/>
      <c r="J53" s="30">
        <f>(G53-J51)</f>
        <v>759.87805555555542</v>
      </c>
    </row>
    <row r="54" spans="2:10" ht="8.25" customHeight="1">
      <c r="D54" s="36">
        <f>SUM(D36:D53)</f>
        <v>568.25805555555542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25" bottom="2.9861111111111099E-2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4"/>
  <sheetViews>
    <sheetView zoomScale="130" zoomScaleNormal="130" workbookViewId="0">
      <selection activeCell="H50" activeCellId="2" sqref="G45 G49 H50"/>
    </sheetView>
  </sheetViews>
  <sheetFormatPr defaultColWidth="9.140625" defaultRowHeight="11.25" customHeight="1"/>
  <cols>
    <col min="1" max="1" width="6.7109375" style="1" customWidth="1"/>
    <col min="2" max="3" width="9.5703125" style="1" customWidth="1"/>
    <col min="4" max="4" width="8.85546875" style="1" customWidth="1"/>
    <col min="5" max="5" width="12.7109375" style="1" customWidth="1"/>
    <col min="6" max="6" width="5" style="1" customWidth="1"/>
    <col min="7" max="7" width="8" style="1" customWidth="1"/>
    <col min="8" max="8" width="9.5703125" style="1" customWidth="1"/>
    <col min="9" max="9" width="9.85546875" style="1" customWidth="1"/>
    <col min="10" max="10" width="8.85546875" style="1" customWidth="1"/>
    <col min="11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1</v>
      </c>
      <c r="C5" s="4"/>
      <c r="D5" s="2" t="s">
        <v>221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261</v>
      </c>
      <c r="C7" s="13"/>
      <c r="D7" s="52" t="s">
        <v>262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B10" s="11" t="s">
        <v>263</v>
      </c>
      <c r="C10" s="12"/>
      <c r="D10" s="12"/>
      <c r="E10" s="12"/>
      <c r="H10" s="12"/>
      <c r="I10" s="14" t="s">
        <v>264</v>
      </c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265</v>
      </c>
      <c r="C13" s="12"/>
      <c r="D13" s="13"/>
      <c r="E13" s="16" t="s">
        <v>161</v>
      </c>
      <c r="F13" s="14" t="s">
        <v>266</v>
      </c>
      <c r="G13" s="13"/>
      <c r="H13" s="18"/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/>
      <c r="C17" s="12"/>
      <c r="D17" s="14" t="s">
        <v>267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2"/>
      <c r="C20" s="12"/>
      <c r="D20" s="12"/>
      <c r="E20" s="12"/>
      <c r="H20" s="12"/>
      <c r="I20" s="14"/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 t="s">
        <v>265</v>
      </c>
      <c r="C23" s="12"/>
      <c r="D23" s="12"/>
      <c r="E23" s="16" t="s">
        <v>161</v>
      </c>
      <c r="F23" s="14"/>
      <c r="G23" s="13"/>
      <c r="H23" s="14"/>
      <c r="I23" s="12"/>
      <c r="J23" s="13"/>
    </row>
    <row r="24" spans="2:10">
      <c r="B24" s="3" t="s">
        <v>268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12"/>
      <c r="C26" s="12"/>
      <c r="D26" s="19"/>
      <c r="E26" s="13"/>
      <c r="G26" s="12"/>
      <c r="H26" s="14" t="s">
        <v>269</v>
      </c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1309.9000000000001</v>
      </c>
      <c r="D30" s="13"/>
      <c r="E30" s="22">
        <v>44095</v>
      </c>
      <c r="F30" s="23"/>
      <c r="G30" s="19"/>
      <c r="H30" s="13"/>
      <c r="I30" s="19">
        <v>44141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0" s="11" customFormat="1">
      <c r="B33" s="12" t="s">
        <v>228</v>
      </c>
      <c r="C33" s="12"/>
      <c r="D33" s="12"/>
      <c r="E33" s="14"/>
      <c r="F33" s="13"/>
      <c r="G33" s="12"/>
      <c r="H33" s="13"/>
      <c r="I33" s="14" t="s">
        <v>33</v>
      </c>
      <c r="J33" s="13"/>
    </row>
    <row r="34" spans="2:10" ht="8.25" customHeight="1"/>
    <row r="35" spans="2:10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0">
      <c r="B36" s="1" t="s">
        <v>229</v>
      </c>
      <c r="C36" s="7"/>
      <c r="D36" s="28"/>
      <c r="E36" s="5" t="s">
        <v>270</v>
      </c>
      <c r="F36" s="7"/>
      <c r="G36" s="28"/>
      <c r="H36" s="2" t="s">
        <v>38</v>
      </c>
      <c r="I36" s="4"/>
      <c r="J36" s="29"/>
    </row>
    <row r="37" spans="2:10">
      <c r="B37" s="9"/>
      <c r="C37" s="10" t="s">
        <v>109</v>
      </c>
      <c r="D37" s="30"/>
      <c r="E37" s="8"/>
      <c r="F37" s="10"/>
      <c r="G37" s="30">
        <v>0</v>
      </c>
      <c r="H37" s="8"/>
      <c r="I37" s="10"/>
      <c r="J37" s="30">
        <v>0</v>
      </c>
    </row>
    <row r="38" spans="2:10">
      <c r="B38" s="3" t="s">
        <v>39</v>
      </c>
      <c r="C38" s="4"/>
      <c r="D38" s="29"/>
      <c r="E38" s="1" t="s">
        <v>233</v>
      </c>
      <c r="G38" s="29"/>
      <c r="H38" s="2" t="s">
        <v>41</v>
      </c>
      <c r="I38" s="4"/>
      <c r="J38" s="29"/>
    </row>
    <row r="39" spans="2:10">
      <c r="B39" s="12">
        <v>8.5</v>
      </c>
      <c r="C39" s="10" t="s">
        <v>109</v>
      </c>
      <c r="D39" s="30">
        <v>510</v>
      </c>
      <c r="G39" s="30"/>
      <c r="H39" s="8" t="s">
        <v>42</v>
      </c>
      <c r="I39" s="10"/>
      <c r="J39" s="30">
        <v>0</v>
      </c>
    </row>
    <row r="40" spans="2:10">
      <c r="B40" s="3" t="s">
        <v>43</v>
      </c>
      <c r="C40" s="4"/>
      <c r="D40" s="29"/>
      <c r="E40" s="2" t="s">
        <v>189</v>
      </c>
      <c r="F40" s="4"/>
      <c r="G40" s="29"/>
      <c r="H40" s="2" t="s">
        <v>45</v>
      </c>
      <c r="I40" s="4"/>
      <c r="J40" s="29"/>
    </row>
    <row r="41" spans="2:10" ht="12.75" customHeight="1">
      <c r="B41" s="12">
        <v>1</v>
      </c>
      <c r="C41" s="10" t="s">
        <v>46</v>
      </c>
      <c r="D41" s="30">
        <f>C30/12</f>
        <v>109.15833333333335</v>
      </c>
      <c r="E41" s="60" t="s">
        <v>271</v>
      </c>
      <c r="F41" s="60"/>
      <c r="G41" s="30">
        <v>332.83</v>
      </c>
      <c r="H41" s="8"/>
      <c r="I41" s="10"/>
      <c r="J41" s="30">
        <v>0</v>
      </c>
    </row>
    <row r="42" spans="2:10">
      <c r="B42" s="3" t="s">
        <v>49</v>
      </c>
      <c r="C42" s="4"/>
      <c r="D42" s="29"/>
      <c r="E42" s="2" t="s">
        <v>234</v>
      </c>
      <c r="F42" s="4"/>
      <c r="G42" s="29"/>
      <c r="H42" s="2" t="s">
        <v>51</v>
      </c>
      <c r="I42" s="4"/>
      <c r="J42" s="29"/>
    </row>
    <row r="43" spans="2:10">
      <c r="B43" s="12"/>
      <c r="C43" s="10" t="s">
        <v>46</v>
      </c>
      <c r="D43" s="30"/>
      <c r="E43" s="8" t="s">
        <v>235</v>
      </c>
      <c r="F43" s="10"/>
      <c r="G43" s="30">
        <v>0</v>
      </c>
      <c r="H43" s="8"/>
      <c r="I43" s="10"/>
      <c r="J43" s="30">
        <v>0</v>
      </c>
    </row>
    <row r="44" spans="2:10">
      <c r="B44" s="3" t="s">
        <v>52</v>
      </c>
      <c r="C44" s="4"/>
      <c r="D44" s="29"/>
      <c r="E44" s="2" t="s">
        <v>272</v>
      </c>
      <c r="F44" s="51">
        <f>(D37+D41+D43)*8%</f>
        <v>8.7326666666666686</v>
      </c>
      <c r="H44" s="2" t="s">
        <v>54</v>
      </c>
      <c r="I44" s="4"/>
      <c r="J44" s="29"/>
    </row>
    <row r="45" spans="2:10">
      <c r="B45" s="12"/>
      <c r="C45" s="10" t="s">
        <v>46</v>
      </c>
      <c r="D45" s="30">
        <f>(C30/12)*B45</f>
        <v>0</v>
      </c>
      <c r="E45" s="14"/>
      <c r="F45" s="10"/>
      <c r="G45" s="30">
        <v>106.45</v>
      </c>
      <c r="H45" s="8" t="s">
        <v>273</v>
      </c>
      <c r="I45" s="10"/>
      <c r="J45" s="30">
        <v>0</v>
      </c>
    </row>
    <row r="46" spans="2:10">
      <c r="B46" s="3" t="s">
        <v>237</v>
      </c>
      <c r="C46" s="4"/>
      <c r="D46" s="29"/>
      <c r="E46" s="2" t="s">
        <v>274</v>
      </c>
      <c r="F46" s="4"/>
      <c r="G46" s="29"/>
      <c r="H46" s="2" t="s">
        <v>59</v>
      </c>
      <c r="I46" s="4"/>
      <c r="J46" s="29"/>
    </row>
    <row r="47" spans="2:10">
      <c r="B47" s="12">
        <v>2</v>
      </c>
      <c r="C47" s="10" t="s">
        <v>238</v>
      </c>
      <c r="D47" s="30">
        <f>C30/12*2</f>
        <v>218.31666666666669</v>
      </c>
      <c r="E47" s="33">
        <v>0.5</v>
      </c>
      <c r="F47" s="10" t="s">
        <v>275</v>
      </c>
      <c r="G47" s="30"/>
      <c r="H47" s="8" t="s">
        <v>276</v>
      </c>
      <c r="I47" s="10"/>
      <c r="J47" s="30">
        <v>0</v>
      </c>
    </row>
    <row r="48" spans="2:10">
      <c r="B48" s="3" t="s">
        <v>240</v>
      </c>
      <c r="C48" s="4"/>
      <c r="D48" s="29"/>
      <c r="E48" s="2" t="s">
        <v>277</v>
      </c>
      <c r="F48" s="4"/>
      <c r="G48" s="29"/>
      <c r="H48" s="2" t="s">
        <v>63</v>
      </c>
      <c r="I48" s="4"/>
      <c r="J48" s="29"/>
    </row>
    <row r="49" spans="2:10">
      <c r="B49" s="9" t="s">
        <v>241</v>
      </c>
      <c r="C49" s="10"/>
      <c r="D49" s="30">
        <f>D47/3</f>
        <v>72.772222222222226</v>
      </c>
      <c r="E49" s="8"/>
      <c r="F49" s="10"/>
      <c r="G49" s="30">
        <v>213.4</v>
      </c>
      <c r="H49" s="8"/>
      <c r="I49" s="10"/>
      <c r="J49" s="30">
        <v>0</v>
      </c>
    </row>
    <row r="50" spans="2:10">
      <c r="B50" s="3" t="s">
        <v>278</v>
      </c>
      <c r="C50" s="4"/>
      <c r="D50" s="29"/>
      <c r="E50" s="2" t="s">
        <v>279</v>
      </c>
      <c r="F50" s="4"/>
      <c r="G50" s="29"/>
      <c r="H50" s="2" t="s">
        <v>68</v>
      </c>
      <c r="I50" s="4"/>
      <c r="J50" s="29"/>
    </row>
    <row r="51" spans="2:10">
      <c r="B51" s="12"/>
      <c r="C51" s="10" t="s">
        <v>46</v>
      </c>
      <c r="D51" s="30"/>
      <c r="E51" s="53" t="s">
        <v>280</v>
      </c>
      <c r="F51" s="54"/>
      <c r="G51" s="30">
        <v>110.74</v>
      </c>
      <c r="H51" s="8" t="s">
        <v>69</v>
      </c>
      <c r="I51" s="10"/>
      <c r="J51" s="30">
        <f>SUM(J36:J49)</f>
        <v>0</v>
      </c>
    </row>
    <row r="52" spans="2:10">
      <c r="B52" s="3" t="s">
        <v>245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246</v>
      </c>
      <c r="C53" s="10"/>
      <c r="D53" s="30">
        <v>0</v>
      </c>
      <c r="E53" s="8"/>
      <c r="F53" s="10"/>
      <c r="G53" s="30">
        <f>D39+D41+D47+D49+G41+G45+G49+G51</f>
        <v>1673.6672222222223</v>
      </c>
      <c r="H53" s="8"/>
      <c r="I53" s="10"/>
      <c r="J53" s="30">
        <f>(G53-J51)</f>
        <v>1673.6672222222223</v>
      </c>
    </row>
    <row r="54" spans="2:10" ht="8.25" customHeight="1">
      <c r="D54" s="36">
        <f>SUM(D36:D53)</f>
        <v>910.24722222222226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mergeCells count="1">
    <mergeCell ref="E41:F41"/>
  </mergeCells>
  <pageMargins left="0.8" right="0.6" top="1.425" bottom="2.9861111111111099E-2" header="0.511811023622047" footer="0.511811023622047"/>
  <pageSetup paperSize="9" scale="9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4"/>
  <sheetViews>
    <sheetView zoomScaleNormal="100" workbookViewId="0">
      <selection activeCell="M21" activeCellId="2" sqref="G45 G49 M21"/>
    </sheetView>
  </sheetViews>
  <sheetFormatPr defaultColWidth="9.140625" defaultRowHeight="11.25" customHeight="1"/>
  <cols>
    <col min="1" max="1" width="7.5703125" style="1" customWidth="1"/>
    <col min="2" max="2" width="10.42578125" style="1" customWidth="1"/>
    <col min="3" max="3" width="9.42578125" style="1" customWidth="1"/>
    <col min="4" max="6" width="9.140625" style="1"/>
    <col min="7" max="7" width="9.85546875" style="1" customWidth="1"/>
    <col min="8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247</v>
      </c>
      <c r="C5" s="4"/>
      <c r="D5" s="2" t="s">
        <v>221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281</v>
      </c>
      <c r="C7" s="13"/>
      <c r="D7" s="14" t="s">
        <v>282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B10" s="11" t="s">
        <v>283</v>
      </c>
      <c r="C10" s="12"/>
      <c r="D10" s="12"/>
      <c r="E10" s="12"/>
      <c r="H10" s="12"/>
      <c r="I10" s="14" t="s">
        <v>284</v>
      </c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224</v>
      </c>
      <c r="C13" s="12"/>
      <c r="D13" s="13"/>
      <c r="E13" s="16" t="s">
        <v>140</v>
      </c>
      <c r="F13" s="55">
        <v>77270000</v>
      </c>
      <c r="G13" s="13"/>
      <c r="H13" s="18"/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/>
      <c r="C17" s="12"/>
      <c r="D17" s="14" t="s">
        <v>285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2"/>
      <c r="C20" s="12"/>
      <c r="D20" s="12"/>
      <c r="E20" s="12"/>
      <c r="H20" s="12"/>
      <c r="I20" s="14"/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 t="s">
        <v>224</v>
      </c>
      <c r="C23" s="12"/>
      <c r="D23" s="12"/>
      <c r="E23" s="16" t="s">
        <v>140</v>
      </c>
      <c r="F23" s="14"/>
      <c r="G23" s="13"/>
      <c r="H23" s="14"/>
      <c r="I23" s="12"/>
      <c r="J23" s="13"/>
    </row>
    <row r="24" spans="2:10">
      <c r="B24" s="3" t="s">
        <v>268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12" t="s">
        <v>286</v>
      </c>
      <c r="C26" s="12"/>
      <c r="D26" s="19"/>
      <c r="E26" s="13"/>
      <c r="F26" s="14"/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1130.32</v>
      </c>
      <c r="D30" s="13"/>
      <c r="E30" s="22">
        <v>43889</v>
      </c>
      <c r="F30" s="23"/>
      <c r="G30" s="19"/>
      <c r="H30" s="13"/>
      <c r="I30" s="19">
        <v>44014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0" s="11" customFormat="1">
      <c r="B33" s="12" t="s">
        <v>228</v>
      </c>
      <c r="C33" s="12"/>
      <c r="D33" s="12"/>
      <c r="E33" s="14"/>
      <c r="F33" s="13"/>
      <c r="G33" s="12"/>
      <c r="H33" s="13"/>
      <c r="I33" s="14" t="s">
        <v>33</v>
      </c>
      <c r="J33" s="13"/>
    </row>
    <row r="34" spans="2:10" ht="8.25" customHeight="1"/>
    <row r="35" spans="2:10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0">
      <c r="B36" s="1" t="s">
        <v>229</v>
      </c>
      <c r="C36" s="7"/>
      <c r="D36" s="28"/>
      <c r="E36" s="5" t="s">
        <v>270</v>
      </c>
      <c r="F36" s="7"/>
      <c r="G36" s="28"/>
      <c r="H36" s="2" t="s">
        <v>38</v>
      </c>
      <c r="I36" s="4"/>
      <c r="J36" s="29"/>
    </row>
    <row r="37" spans="2:10">
      <c r="B37" s="9" t="s">
        <v>231</v>
      </c>
      <c r="C37" s="10"/>
      <c r="D37" s="30">
        <v>0</v>
      </c>
      <c r="E37" s="8"/>
      <c r="F37" s="10"/>
      <c r="G37" s="30">
        <v>0</v>
      </c>
      <c r="H37" s="8"/>
      <c r="I37" s="10"/>
      <c r="J37" s="30">
        <v>0</v>
      </c>
    </row>
    <row r="38" spans="2:10">
      <c r="B38" s="3" t="s">
        <v>39</v>
      </c>
      <c r="C38" s="4"/>
      <c r="D38" s="29"/>
      <c r="E38" s="1" t="s">
        <v>233</v>
      </c>
      <c r="G38" s="29"/>
      <c r="H38" s="2" t="s">
        <v>41</v>
      </c>
      <c r="I38" s="4"/>
      <c r="J38" s="29"/>
    </row>
    <row r="39" spans="2:10">
      <c r="B39" s="12"/>
      <c r="C39" s="10" t="s">
        <v>109</v>
      </c>
      <c r="D39" s="30"/>
      <c r="G39" s="30"/>
      <c r="H39" s="8" t="s">
        <v>42</v>
      </c>
      <c r="I39" s="10"/>
      <c r="J39" s="30">
        <v>0</v>
      </c>
    </row>
    <row r="40" spans="2:10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</row>
    <row r="41" spans="2:10">
      <c r="B41" s="12">
        <v>4</v>
      </c>
      <c r="C41" s="10" t="s">
        <v>46</v>
      </c>
      <c r="D41" s="30">
        <f>C30/12*4</f>
        <v>376.77333333333331</v>
      </c>
      <c r="E41" s="8"/>
      <c r="F41" s="10" t="s">
        <v>47</v>
      </c>
      <c r="G41" s="30">
        <v>0</v>
      </c>
      <c r="H41" s="8"/>
      <c r="I41" s="10"/>
      <c r="J41" s="30">
        <v>0</v>
      </c>
    </row>
    <row r="42" spans="2:10">
      <c r="B42" s="3" t="s">
        <v>49</v>
      </c>
      <c r="C42" s="4"/>
      <c r="D42" s="29"/>
      <c r="E42" s="2" t="s">
        <v>234</v>
      </c>
      <c r="F42" s="4"/>
      <c r="G42" s="29"/>
      <c r="H42" s="2" t="s">
        <v>51</v>
      </c>
      <c r="I42" s="4"/>
      <c r="J42" s="29"/>
    </row>
    <row r="43" spans="2:10">
      <c r="B43" s="12"/>
      <c r="C43" s="10" t="s">
        <v>46</v>
      </c>
      <c r="D43" s="30"/>
      <c r="E43" s="8" t="s">
        <v>235</v>
      </c>
      <c r="F43" s="10"/>
      <c r="G43" s="30">
        <v>0</v>
      </c>
      <c r="H43" s="8"/>
      <c r="I43" s="10"/>
      <c r="J43" s="30">
        <v>0</v>
      </c>
    </row>
    <row r="44" spans="2:10">
      <c r="B44" s="3" t="s">
        <v>52</v>
      </c>
      <c r="C44" s="4"/>
      <c r="D44" s="29"/>
      <c r="E44" s="2" t="s">
        <v>53</v>
      </c>
      <c r="F44" s="51">
        <f>(D37+D41+D43)*8%</f>
        <v>30.141866666666665</v>
      </c>
      <c r="H44" s="2" t="s">
        <v>54</v>
      </c>
      <c r="I44" s="4"/>
      <c r="J44" s="29"/>
    </row>
    <row r="45" spans="2:10">
      <c r="B45" s="12"/>
      <c r="C45" s="10" t="s">
        <v>46</v>
      </c>
      <c r="D45" s="30">
        <f>(C30/12)*B45</f>
        <v>0</v>
      </c>
      <c r="E45" s="14"/>
      <c r="F45" s="10" t="s">
        <v>56</v>
      </c>
      <c r="G45" s="30">
        <v>389.78</v>
      </c>
      <c r="H45" s="8" t="s">
        <v>287</v>
      </c>
      <c r="I45" s="10"/>
      <c r="J45" s="30">
        <v>0</v>
      </c>
    </row>
    <row r="46" spans="2:10">
      <c r="B46" s="3" t="s">
        <v>237</v>
      </c>
      <c r="C46" s="4"/>
      <c r="D46" s="29"/>
      <c r="E46" s="2" t="s">
        <v>58</v>
      </c>
      <c r="F46" s="4"/>
      <c r="G46" s="29"/>
      <c r="H46" s="2" t="s">
        <v>59</v>
      </c>
      <c r="I46" s="4"/>
      <c r="J46" s="29"/>
    </row>
    <row r="47" spans="2:10">
      <c r="B47" s="12">
        <v>4</v>
      </c>
      <c r="C47" s="10" t="s">
        <v>238</v>
      </c>
      <c r="D47" s="30">
        <f>C30/12*4</f>
        <v>376.77333333333331</v>
      </c>
      <c r="E47" s="33">
        <v>0.4</v>
      </c>
      <c r="F47" s="10"/>
      <c r="G47" s="30">
        <v>0</v>
      </c>
      <c r="H47" s="8" t="s">
        <v>276</v>
      </c>
      <c r="I47" s="10"/>
      <c r="J47" s="30">
        <v>0</v>
      </c>
    </row>
    <row r="48" spans="2:10">
      <c r="B48" s="3" t="s">
        <v>240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241</v>
      </c>
      <c r="C49" s="10"/>
      <c r="D49" s="30">
        <f>D47/3</f>
        <v>125.5911111111111</v>
      </c>
      <c r="E49" s="8" t="s">
        <v>65</v>
      </c>
      <c r="F49" s="10"/>
      <c r="G49" s="30"/>
      <c r="H49" s="8"/>
      <c r="I49" s="10"/>
      <c r="J49" s="30">
        <v>0</v>
      </c>
    </row>
    <row r="50" spans="2:10">
      <c r="B50" s="3" t="s">
        <v>242</v>
      </c>
      <c r="C50" s="4"/>
      <c r="D50" s="29"/>
      <c r="E50" s="2" t="s">
        <v>243</v>
      </c>
      <c r="F50" s="4"/>
      <c r="G50" s="29"/>
      <c r="H50" s="2" t="s">
        <v>68</v>
      </c>
      <c r="I50" s="4"/>
      <c r="J50" s="29"/>
    </row>
    <row r="51" spans="2:10">
      <c r="B51" s="9"/>
      <c r="C51" s="10" t="s">
        <v>109</v>
      </c>
      <c r="D51" s="30">
        <v>0</v>
      </c>
      <c r="E51" s="8" t="s">
        <v>244</v>
      </c>
      <c r="F51" s="10"/>
      <c r="G51" s="30">
        <v>0</v>
      </c>
      <c r="H51" s="8" t="s">
        <v>69</v>
      </c>
      <c r="I51" s="10"/>
      <c r="J51" s="30">
        <f>SUM(J36:J49)</f>
        <v>0</v>
      </c>
    </row>
    <row r="52" spans="2:10">
      <c r="B52" s="3" t="s">
        <v>245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246</v>
      </c>
      <c r="C53" s="10"/>
      <c r="D53" s="30">
        <v>0</v>
      </c>
      <c r="E53" s="8"/>
      <c r="F53" s="10"/>
      <c r="G53" s="30">
        <f>D41+D47+D49+G45</f>
        <v>1268.9177777777777</v>
      </c>
      <c r="H53" s="8"/>
      <c r="I53" s="10"/>
      <c r="J53" s="30">
        <f>G53</f>
        <v>1268.9177777777777</v>
      </c>
    </row>
    <row r="54" spans="2:10" ht="8.25" customHeight="1">
      <c r="D54" s="36">
        <f>SUM(D36:D53)</f>
        <v>879.13777777777773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84513888888888899" bottom="2.9861111111111099E-2" header="0.511811023622047" footer="0.511811023622047"/>
  <pageSetup paperSize="9" scale="95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74"/>
  <sheetViews>
    <sheetView zoomScaleNormal="100" workbookViewId="0">
      <selection activeCell="D7" activeCellId="2" sqref="G45 G49 D7"/>
    </sheetView>
  </sheetViews>
  <sheetFormatPr defaultColWidth="9.140625" defaultRowHeight="11.25" customHeight="1"/>
  <cols>
    <col min="1" max="1" width="7.5703125" style="1" customWidth="1"/>
    <col min="2" max="2" width="10.42578125" style="1" customWidth="1"/>
    <col min="3" max="3" width="9.42578125" style="1" customWidth="1"/>
    <col min="4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247</v>
      </c>
      <c r="C5" s="4"/>
      <c r="D5" s="2" t="s">
        <v>221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288</v>
      </c>
      <c r="C7" s="13"/>
      <c r="D7" s="14" t="s">
        <v>289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C10" s="12"/>
      <c r="D10" s="12"/>
      <c r="E10" s="12"/>
      <c r="H10" s="12"/>
      <c r="I10" s="14"/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290</v>
      </c>
      <c r="C13" s="12"/>
      <c r="D13" s="13"/>
      <c r="E13" s="16" t="s">
        <v>161</v>
      </c>
      <c r="F13" s="14"/>
      <c r="G13" s="13"/>
      <c r="H13" s="18"/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/>
      <c r="C17" s="12"/>
      <c r="D17" s="14" t="s">
        <v>291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2"/>
      <c r="C20" s="12"/>
      <c r="D20" s="12"/>
      <c r="E20" s="12"/>
      <c r="H20" s="12"/>
      <c r="I20" s="14"/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 t="s">
        <v>290</v>
      </c>
      <c r="C23" s="12"/>
      <c r="D23" s="12"/>
      <c r="E23" s="16" t="s">
        <v>161</v>
      </c>
      <c r="F23" s="14"/>
      <c r="G23" s="13"/>
      <c r="H23" s="14"/>
      <c r="I23" s="12"/>
      <c r="J23" s="13"/>
    </row>
    <row r="24" spans="2:10">
      <c r="B24" s="3" t="s">
        <v>268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12" t="s">
        <v>292</v>
      </c>
      <c r="C26" s="12"/>
      <c r="D26" s="19"/>
      <c r="E26" s="13"/>
      <c r="F26" s="14"/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1045</v>
      </c>
      <c r="D30" s="13"/>
      <c r="E30" s="22">
        <v>43182</v>
      </c>
      <c r="F30" s="23"/>
      <c r="G30" s="19"/>
      <c r="H30" s="13"/>
      <c r="I30" s="19">
        <v>43436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0" s="11" customFormat="1">
      <c r="B33" s="12" t="s">
        <v>228</v>
      </c>
      <c r="C33" s="12"/>
      <c r="D33" s="12"/>
      <c r="E33" s="14"/>
      <c r="F33" s="13"/>
      <c r="G33" s="12"/>
      <c r="H33" s="13"/>
      <c r="I33" s="14" t="s">
        <v>33</v>
      </c>
      <c r="J33" s="13"/>
    </row>
    <row r="34" spans="2:10" ht="8.25" customHeight="1"/>
    <row r="35" spans="2:10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0">
      <c r="B36" s="1" t="s">
        <v>229</v>
      </c>
      <c r="C36" s="7"/>
      <c r="D36" s="28"/>
      <c r="E36" s="5" t="s">
        <v>270</v>
      </c>
      <c r="F36" s="7"/>
      <c r="G36" s="28"/>
      <c r="H36" s="2" t="s">
        <v>38</v>
      </c>
      <c r="I36" s="4"/>
      <c r="J36" s="29"/>
    </row>
    <row r="37" spans="2:10">
      <c r="B37" s="9" t="s">
        <v>231</v>
      </c>
      <c r="C37" s="10"/>
      <c r="D37" s="30">
        <v>0</v>
      </c>
      <c r="E37" s="8"/>
      <c r="F37" s="10"/>
      <c r="G37" s="30">
        <v>0</v>
      </c>
      <c r="H37" s="8"/>
      <c r="I37" s="10"/>
      <c r="J37" s="30">
        <v>0</v>
      </c>
    </row>
    <row r="38" spans="2:10">
      <c r="B38" s="3" t="s">
        <v>39</v>
      </c>
      <c r="C38" s="4"/>
      <c r="D38" s="29"/>
      <c r="E38" s="1" t="s">
        <v>233</v>
      </c>
      <c r="G38" s="29"/>
      <c r="H38" s="2" t="s">
        <v>41</v>
      </c>
      <c r="I38" s="4"/>
      <c r="J38" s="29"/>
    </row>
    <row r="39" spans="2:10">
      <c r="B39" s="12"/>
      <c r="C39" s="10" t="s">
        <v>109</v>
      </c>
      <c r="D39" s="30"/>
      <c r="G39" s="30"/>
      <c r="H39" s="8" t="s">
        <v>42</v>
      </c>
      <c r="I39" s="10"/>
      <c r="J39" s="30">
        <v>0</v>
      </c>
    </row>
    <row r="40" spans="2:10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</row>
    <row r="41" spans="2:10">
      <c r="B41" s="12">
        <v>8</v>
      </c>
      <c r="C41" s="10" t="s">
        <v>46</v>
      </c>
      <c r="D41" s="30">
        <f>C30/12*8</f>
        <v>696.66666666666663</v>
      </c>
      <c r="E41" s="8"/>
      <c r="F41" s="10" t="s">
        <v>47</v>
      </c>
      <c r="G41" s="30">
        <v>0</v>
      </c>
      <c r="H41" s="8"/>
      <c r="I41" s="10"/>
      <c r="J41" s="30">
        <v>0</v>
      </c>
    </row>
    <row r="42" spans="2:10">
      <c r="B42" s="3" t="s">
        <v>49</v>
      </c>
      <c r="C42" s="4"/>
      <c r="D42" s="29"/>
      <c r="E42" s="2" t="s">
        <v>234</v>
      </c>
      <c r="F42" s="4"/>
      <c r="G42" s="29"/>
      <c r="H42" s="2" t="s">
        <v>51</v>
      </c>
      <c r="I42" s="4"/>
      <c r="J42" s="29"/>
    </row>
    <row r="43" spans="2:10">
      <c r="B43" s="12"/>
      <c r="C43" s="10" t="s">
        <v>46</v>
      </c>
      <c r="D43" s="30">
        <v>0</v>
      </c>
      <c r="E43" s="8" t="s">
        <v>235</v>
      </c>
      <c r="F43" s="10"/>
      <c r="G43" s="30">
        <v>0</v>
      </c>
      <c r="H43" s="8"/>
      <c r="I43" s="10"/>
      <c r="J43" s="30">
        <v>0</v>
      </c>
    </row>
    <row r="44" spans="2:10">
      <c r="B44" s="3" t="s">
        <v>52</v>
      </c>
      <c r="C44" s="4"/>
      <c r="D44" s="29"/>
      <c r="E44" s="2" t="s">
        <v>53</v>
      </c>
      <c r="F44" s="51">
        <f>(D37+D41+D43)*8%</f>
        <v>55.733333333333334</v>
      </c>
      <c r="H44" s="2" t="s">
        <v>54</v>
      </c>
      <c r="I44" s="4"/>
      <c r="J44" s="29"/>
    </row>
    <row r="45" spans="2:10">
      <c r="B45" s="12"/>
      <c r="C45" s="10" t="s">
        <v>46</v>
      </c>
      <c r="D45" s="30">
        <f>(C30/12)*B45</f>
        <v>0</v>
      </c>
      <c r="E45" s="14"/>
      <c r="F45" s="10" t="s">
        <v>56</v>
      </c>
      <c r="G45" s="30"/>
      <c r="H45" s="8" t="s">
        <v>287</v>
      </c>
      <c r="I45" s="10"/>
      <c r="J45" s="30">
        <v>0</v>
      </c>
    </row>
    <row r="46" spans="2:10">
      <c r="B46" s="3" t="s">
        <v>237</v>
      </c>
      <c r="C46" s="4"/>
      <c r="D46" s="29"/>
      <c r="E46" s="2" t="s">
        <v>58</v>
      </c>
      <c r="F46" s="4"/>
      <c r="G46" s="29"/>
      <c r="H46" s="2" t="s">
        <v>59</v>
      </c>
      <c r="I46" s="4"/>
      <c r="J46" s="29"/>
    </row>
    <row r="47" spans="2:10">
      <c r="B47" s="12">
        <v>8</v>
      </c>
      <c r="C47" s="10" t="s">
        <v>238</v>
      </c>
      <c r="D47" s="30">
        <f>C30/12*8</f>
        <v>696.66666666666663</v>
      </c>
      <c r="E47" s="33">
        <v>0.4</v>
      </c>
      <c r="F47" s="10"/>
      <c r="G47" s="30">
        <v>0</v>
      </c>
      <c r="H47" s="8" t="s">
        <v>276</v>
      </c>
      <c r="I47" s="10"/>
      <c r="J47" s="30">
        <v>0</v>
      </c>
    </row>
    <row r="48" spans="2:10">
      <c r="B48" s="3" t="s">
        <v>240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241</v>
      </c>
      <c r="C49" s="10"/>
      <c r="D49" s="30">
        <f>D47/3</f>
        <v>232.2222222222222</v>
      </c>
      <c r="E49" s="8" t="s">
        <v>65</v>
      </c>
      <c r="F49" s="10"/>
      <c r="G49" s="30">
        <v>560.15</v>
      </c>
      <c r="H49" s="8"/>
      <c r="I49" s="10"/>
      <c r="J49" s="30">
        <v>0</v>
      </c>
    </row>
    <row r="50" spans="2:10">
      <c r="B50" s="3" t="s">
        <v>242</v>
      </c>
      <c r="C50" s="4"/>
      <c r="D50" s="29"/>
      <c r="E50" s="2" t="s">
        <v>243</v>
      </c>
      <c r="F50" s="4"/>
      <c r="G50" s="29"/>
      <c r="H50" s="2" t="s">
        <v>68</v>
      </c>
      <c r="I50" s="4"/>
      <c r="J50" s="29"/>
    </row>
    <row r="51" spans="2:10">
      <c r="B51" s="9"/>
      <c r="C51" s="10" t="s">
        <v>109</v>
      </c>
      <c r="D51" s="30">
        <v>0</v>
      </c>
      <c r="E51" s="8" t="s">
        <v>244</v>
      </c>
      <c r="F51" s="10"/>
      <c r="G51" s="30">
        <v>0</v>
      </c>
      <c r="H51" s="8" t="s">
        <v>69</v>
      </c>
      <c r="I51" s="10"/>
      <c r="J51" s="30">
        <f>SUM(J36:J49)</f>
        <v>0</v>
      </c>
    </row>
    <row r="52" spans="2:10">
      <c r="B52" s="3" t="s">
        <v>245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246</v>
      </c>
      <c r="C53" s="10"/>
      <c r="D53" s="30">
        <v>0</v>
      </c>
      <c r="E53" s="8"/>
      <c r="F53" s="10"/>
      <c r="G53" s="30">
        <f>D41+D47+D49+G49</f>
        <v>2185.7055555555553</v>
      </c>
      <c r="H53" s="8"/>
      <c r="I53" s="10"/>
      <c r="J53" s="30">
        <f>G53</f>
        <v>2185.7055555555553</v>
      </c>
    </row>
    <row r="54" spans="2:10" ht="8.25" customHeight="1">
      <c r="D54" s="36">
        <f>SUM(D36:D53)</f>
        <v>1625.5555555555554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84513888888888899" bottom="2.9861111111111099E-2" header="0.511811023622047" footer="0.511811023622047"/>
  <pageSetup paperSize="9" scale="95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74"/>
  <sheetViews>
    <sheetView zoomScaleNormal="100" workbookViewId="0">
      <selection activeCell="L52" activeCellId="2" sqref="G45 G49 L52"/>
    </sheetView>
  </sheetViews>
  <sheetFormatPr defaultColWidth="9.140625" defaultRowHeight="11.25" customHeight="1"/>
  <cols>
    <col min="1" max="1" width="7.5703125" style="1" customWidth="1"/>
    <col min="2" max="2" width="10.42578125" style="1" customWidth="1"/>
    <col min="3" max="3" width="9.42578125" style="1" customWidth="1"/>
    <col min="4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247</v>
      </c>
      <c r="C5" s="4"/>
      <c r="D5" s="2" t="s">
        <v>221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293</v>
      </c>
      <c r="C7" s="13"/>
      <c r="D7" s="14" t="s">
        <v>294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B10" s="11" t="s">
        <v>295</v>
      </c>
      <c r="C10" s="12"/>
      <c r="D10" s="12"/>
      <c r="E10" s="12"/>
      <c r="H10" s="12"/>
      <c r="I10" s="14" t="s">
        <v>296</v>
      </c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297</v>
      </c>
      <c r="C13" s="12"/>
      <c r="D13" s="13"/>
      <c r="E13" s="16" t="s">
        <v>140</v>
      </c>
      <c r="F13" s="14" t="s">
        <v>298</v>
      </c>
      <c r="G13" s="13"/>
      <c r="H13" s="18"/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/>
      <c r="C17" s="12"/>
      <c r="D17" s="14" t="s">
        <v>299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2"/>
      <c r="C20" s="12"/>
      <c r="D20" s="12"/>
      <c r="E20" s="12"/>
      <c r="H20" s="12"/>
      <c r="I20" s="14"/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 t="s">
        <v>297</v>
      </c>
      <c r="C23" s="12"/>
      <c r="D23" s="12"/>
      <c r="E23" s="16" t="s">
        <v>140</v>
      </c>
      <c r="F23" s="14" t="s">
        <v>300</v>
      </c>
      <c r="G23" s="13"/>
      <c r="H23" s="14"/>
      <c r="I23" s="12"/>
      <c r="J23" s="13"/>
    </row>
    <row r="24" spans="2:10">
      <c r="B24" s="3" t="s">
        <v>226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12"/>
      <c r="C26" s="12"/>
      <c r="D26" s="19"/>
      <c r="E26" s="13"/>
      <c r="F26" s="14"/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1500</v>
      </c>
      <c r="D30" s="13"/>
      <c r="E30" s="22" t="s">
        <v>301</v>
      </c>
      <c r="F30" s="23"/>
      <c r="G30" s="19"/>
      <c r="H30" s="13"/>
      <c r="I30" s="19">
        <v>44042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0" s="11" customFormat="1">
      <c r="B33" s="12" t="s">
        <v>228</v>
      </c>
      <c r="C33" s="12"/>
      <c r="D33" s="12"/>
      <c r="E33" s="14"/>
      <c r="F33" s="13"/>
      <c r="G33" s="12"/>
      <c r="H33" s="13"/>
      <c r="I33" s="14" t="s">
        <v>33</v>
      </c>
      <c r="J33" s="13"/>
    </row>
    <row r="34" spans="2:10" ht="8.25" customHeight="1"/>
    <row r="35" spans="2:10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0">
      <c r="B36" s="1" t="s">
        <v>229</v>
      </c>
      <c r="C36" s="7"/>
      <c r="D36" s="28"/>
      <c r="E36" s="5" t="s">
        <v>270</v>
      </c>
      <c r="F36" s="7"/>
      <c r="G36" s="28"/>
      <c r="H36" s="2" t="s">
        <v>38</v>
      </c>
      <c r="I36" s="4"/>
      <c r="J36" s="29"/>
    </row>
    <row r="37" spans="2:10">
      <c r="B37" s="9" t="s">
        <v>302</v>
      </c>
      <c r="C37" s="10"/>
      <c r="D37" s="30">
        <v>0</v>
      </c>
      <c r="E37" s="8"/>
      <c r="F37" s="10"/>
      <c r="G37" s="30">
        <v>0</v>
      </c>
      <c r="H37" s="8"/>
      <c r="I37" s="10"/>
      <c r="J37" s="30">
        <v>0</v>
      </c>
    </row>
    <row r="38" spans="2:10">
      <c r="B38" s="3" t="s">
        <v>39</v>
      </c>
      <c r="C38" s="4"/>
      <c r="D38" s="29"/>
      <c r="E38" s="1" t="s">
        <v>233</v>
      </c>
      <c r="G38" s="29"/>
      <c r="H38" s="2" t="s">
        <v>41</v>
      </c>
      <c r="I38" s="4"/>
      <c r="J38" s="29"/>
    </row>
    <row r="39" spans="2:10">
      <c r="B39" s="12"/>
      <c r="C39" s="10" t="s">
        <v>109</v>
      </c>
      <c r="D39" s="30">
        <v>1500</v>
      </c>
      <c r="G39" s="30"/>
      <c r="H39" s="8" t="s">
        <v>42</v>
      </c>
      <c r="I39" s="10"/>
      <c r="J39" s="30">
        <v>0</v>
      </c>
    </row>
    <row r="40" spans="2:10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</row>
    <row r="41" spans="2:10">
      <c r="B41" s="12">
        <v>1</v>
      </c>
      <c r="C41" s="10" t="s">
        <v>46</v>
      </c>
      <c r="D41" s="30">
        <v>125</v>
      </c>
      <c r="E41" s="8"/>
      <c r="F41" s="10" t="s">
        <v>47</v>
      </c>
      <c r="G41" s="30">
        <v>0</v>
      </c>
      <c r="H41" s="8"/>
      <c r="I41" s="10"/>
      <c r="J41" s="30">
        <v>0</v>
      </c>
    </row>
    <row r="42" spans="2:10">
      <c r="B42" s="3" t="s">
        <v>49</v>
      </c>
      <c r="C42" s="4"/>
      <c r="D42" s="29"/>
      <c r="E42" s="2" t="s">
        <v>234</v>
      </c>
      <c r="F42" s="4"/>
      <c r="G42" s="29"/>
      <c r="H42" s="2" t="s">
        <v>51</v>
      </c>
      <c r="I42" s="4"/>
      <c r="J42" s="29"/>
    </row>
    <row r="43" spans="2:10">
      <c r="B43" s="12">
        <v>0</v>
      </c>
      <c r="C43" s="10" t="s">
        <v>46</v>
      </c>
      <c r="D43" s="30">
        <v>0</v>
      </c>
      <c r="E43" s="8" t="s">
        <v>235</v>
      </c>
      <c r="F43" s="10"/>
      <c r="G43" s="30">
        <v>0</v>
      </c>
      <c r="H43" s="8"/>
      <c r="I43" s="10"/>
      <c r="J43" s="30">
        <v>0</v>
      </c>
    </row>
    <row r="44" spans="2:10">
      <c r="B44" s="3" t="s">
        <v>52</v>
      </c>
      <c r="C44" s="4"/>
      <c r="D44" s="29"/>
      <c r="E44" s="2" t="s">
        <v>53</v>
      </c>
      <c r="F44" s="51">
        <f>(D37+D41+D43)*8%</f>
        <v>10</v>
      </c>
      <c r="H44" s="2" t="s">
        <v>54</v>
      </c>
      <c r="I44" s="4"/>
      <c r="J44" s="29"/>
    </row>
    <row r="45" spans="2:10">
      <c r="B45" s="12">
        <v>0</v>
      </c>
      <c r="C45" s="10" t="s">
        <v>46</v>
      </c>
      <c r="D45" s="30">
        <f>(C30/12)*B45</f>
        <v>0</v>
      </c>
      <c r="E45" s="14"/>
      <c r="F45" s="10" t="s">
        <v>56</v>
      </c>
      <c r="G45" s="30"/>
      <c r="H45" s="8" t="s">
        <v>303</v>
      </c>
      <c r="I45" s="10"/>
      <c r="J45" s="30"/>
    </row>
    <row r="46" spans="2:10">
      <c r="B46" s="3" t="s">
        <v>237</v>
      </c>
      <c r="C46" s="4"/>
      <c r="D46" s="29"/>
      <c r="E46" s="2" t="s">
        <v>58</v>
      </c>
      <c r="F46" s="4"/>
      <c r="G46" s="29"/>
      <c r="H46" s="2" t="s">
        <v>59</v>
      </c>
      <c r="I46" s="4"/>
      <c r="J46" s="29"/>
    </row>
    <row r="47" spans="2:10">
      <c r="B47" s="12">
        <v>1</v>
      </c>
      <c r="C47" s="10" t="s">
        <v>238</v>
      </c>
      <c r="D47" s="30">
        <v>125</v>
      </c>
      <c r="E47" s="33">
        <v>0.4</v>
      </c>
      <c r="F47" s="10"/>
      <c r="G47" s="30">
        <v>0</v>
      </c>
      <c r="H47" s="8" t="s">
        <v>304</v>
      </c>
      <c r="I47" s="10"/>
      <c r="J47" s="30">
        <v>104.24</v>
      </c>
    </row>
    <row r="48" spans="2:10">
      <c r="B48" s="3" t="s">
        <v>240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241</v>
      </c>
      <c r="C49" s="10"/>
      <c r="D49" s="30">
        <f>D47/3</f>
        <v>41.666666666666664</v>
      </c>
      <c r="E49" s="8" t="s">
        <v>65</v>
      </c>
      <c r="F49" s="10"/>
      <c r="G49" s="30"/>
      <c r="H49" s="8"/>
      <c r="I49" s="10"/>
      <c r="J49" s="30">
        <v>0</v>
      </c>
    </row>
    <row r="50" spans="2:10">
      <c r="B50" s="3" t="s">
        <v>242</v>
      </c>
      <c r="C50" s="4"/>
      <c r="D50" s="29"/>
      <c r="E50" s="2" t="s">
        <v>243</v>
      </c>
      <c r="F50" s="4"/>
      <c r="G50" s="29"/>
      <c r="H50" s="2" t="s">
        <v>68</v>
      </c>
      <c r="I50" s="4"/>
      <c r="J50" s="29"/>
    </row>
    <row r="51" spans="2:10">
      <c r="B51" s="9"/>
      <c r="C51" s="10" t="s">
        <v>109</v>
      </c>
      <c r="D51" s="30">
        <v>0</v>
      </c>
      <c r="E51" s="8" t="s">
        <v>244</v>
      </c>
      <c r="F51" s="10"/>
      <c r="G51" s="30">
        <v>0</v>
      </c>
      <c r="H51" s="8" t="s">
        <v>69</v>
      </c>
      <c r="I51" s="10"/>
      <c r="J51" s="30">
        <f>SUM(J36:J49)</f>
        <v>104.24</v>
      </c>
    </row>
    <row r="52" spans="2:10">
      <c r="B52" s="3" t="s">
        <v>245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246</v>
      </c>
      <c r="C53" s="10"/>
      <c r="D53" s="30">
        <v>0</v>
      </c>
      <c r="E53" s="8"/>
      <c r="F53" s="10"/>
      <c r="G53" s="30">
        <f>D39+D41+D47+D49</f>
        <v>1791.6666666666667</v>
      </c>
      <c r="H53" s="8"/>
      <c r="I53" s="10"/>
      <c r="J53" s="30">
        <f>G53-J47</f>
        <v>1687.4266666666667</v>
      </c>
    </row>
    <row r="54" spans="2:10" ht="8.25" customHeight="1">
      <c r="D54" s="36">
        <f>SUM(D36:D53)</f>
        <v>1791.6666666666667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84513888888888899" bottom="2.9861111111111099E-2" header="0.511811023622047" footer="0.511811023622047"/>
  <pageSetup paperSize="9" scale="95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74"/>
  <sheetViews>
    <sheetView zoomScaleNormal="100" workbookViewId="0">
      <selection activeCell="G45" sqref="G45 G49"/>
    </sheetView>
  </sheetViews>
  <sheetFormatPr defaultColWidth="9.140625" defaultRowHeight="11.25" customHeight="1"/>
  <cols>
    <col min="1" max="1" width="7.5703125" style="1" customWidth="1"/>
    <col min="2" max="2" width="10.42578125" style="1" customWidth="1"/>
    <col min="3" max="3" width="10.28515625" style="1" customWidth="1"/>
    <col min="4" max="4" width="8.85546875" style="1" customWidth="1"/>
    <col min="5" max="5" width="9" style="1" customWidth="1"/>
    <col min="6" max="6" width="10.42578125" style="1" customWidth="1"/>
    <col min="7" max="7" width="9" style="1" customWidth="1"/>
    <col min="8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247</v>
      </c>
      <c r="C5" s="4"/>
      <c r="D5" s="2" t="s">
        <v>221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305</v>
      </c>
      <c r="C7" s="13"/>
      <c r="D7" s="14" t="s">
        <v>306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B10" s="11" t="s">
        <v>307</v>
      </c>
      <c r="C10" s="12"/>
      <c r="D10" s="12"/>
      <c r="E10" s="12"/>
      <c r="H10" s="12"/>
      <c r="I10" s="14"/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308</v>
      </c>
      <c r="C13" s="12"/>
      <c r="D13" s="13"/>
      <c r="E13" s="16" t="s">
        <v>140</v>
      </c>
      <c r="F13" s="17">
        <v>77020026</v>
      </c>
      <c r="G13" s="13"/>
      <c r="H13" s="18"/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/>
      <c r="C17" s="12"/>
      <c r="D17" s="14" t="s">
        <v>309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2"/>
      <c r="C20" s="12"/>
      <c r="D20" s="12"/>
      <c r="E20" s="12"/>
      <c r="H20" s="12"/>
      <c r="I20" s="14"/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/>
      <c r="C23" s="12"/>
      <c r="D23" s="12"/>
      <c r="E23" s="16"/>
      <c r="F23" s="14"/>
      <c r="G23" s="13"/>
      <c r="H23" s="14"/>
      <c r="I23" s="12"/>
      <c r="J23" s="13"/>
    </row>
    <row r="24" spans="2:10">
      <c r="B24" s="3" t="s">
        <v>268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12"/>
      <c r="C26" s="12"/>
      <c r="D26" s="19"/>
      <c r="E26" s="13"/>
      <c r="F26" s="14"/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1045</v>
      </c>
      <c r="D30" s="13"/>
      <c r="E30" s="22">
        <v>42889</v>
      </c>
      <c r="F30" s="23"/>
      <c r="G30" s="19"/>
      <c r="H30" s="13"/>
      <c r="I30" s="19">
        <v>44049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0" s="11" customFormat="1">
      <c r="B33" s="12" t="s">
        <v>228</v>
      </c>
      <c r="C33" s="12"/>
      <c r="D33" s="12"/>
      <c r="E33" s="14"/>
      <c r="F33" s="13"/>
      <c r="G33" s="12"/>
      <c r="H33" s="13"/>
      <c r="I33" s="14" t="s">
        <v>33</v>
      </c>
      <c r="J33" s="13"/>
    </row>
    <row r="34" spans="2:10" ht="8.25" customHeight="1"/>
    <row r="35" spans="2:10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0">
      <c r="B36" s="1" t="s">
        <v>36</v>
      </c>
      <c r="C36" s="7"/>
      <c r="D36" s="28"/>
      <c r="E36" s="5" t="s">
        <v>37</v>
      </c>
      <c r="F36" s="7"/>
      <c r="G36" s="28"/>
      <c r="H36" s="2" t="s">
        <v>38</v>
      </c>
      <c r="I36" s="4"/>
      <c r="J36" s="29"/>
    </row>
    <row r="37" spans="2:10">
      <c r="B37" s="9" t="s">
        <v>310</v>
      </c>
      <c r="C37" s="10"/>
      <c r="D37" s="30">
        <v>0</v>
      </c>
      <c r="E37" s="8"/>
      <c r="F37" s="10"/>
      <c r="G37" s="30"/>
      <c r="H37" s="8"/>
      <c r="I37" s="10"/>
      <c r="J37" s="30">
        <v>0</v>
      </c>
    </row>
    <row r="38" spans="2:10">
      <c r="B38" s="3" t="s">
        <v>39</v>
      </c>
      <c r="C38" s="4"/>
      <c r="D38" s="29"/>
      <c r="E38" s="1" t="s">
        <v>311</v>
      </c>
      <c r="G38" s="29"/>
      <c r="H38" s="2" t="s">
        <v>41</v>
      </c>
      <c r="I38" s="4"/>
      <c r="J38" s="29"/>
    </row>
    <row r="39" spans="2:10">
      <c r="B39" s="12"/>
      <c r="C39" s="10" t="s">
        <v>109</v>
      </c>
      <c r="D39" s="30">
        <v>0</v>
      </c>
      <c r="E39" s="1" t="s">
        <v>312</v>
      </c>
      <c r="G39" s="30"/>
      <c r="H39" s="8" t="s">
        <v>42</v>
      </c>
      <c r="I39" s="10"/>
      <c r="J39" s="30">
        <v>0</v>
      </c>
    </row>
    <row r="40" spans="2:10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</row>
    <row r="41" spans="2:10">
      <c r="B41" s="12">
        <v>41</v>
      </c>
      <c r="C41" s="10" t="s">
        <v>46</v>
      </c>
      <c r="D41" s="30">
        <v>3342.41</v>
      </c>
      <c r="E41" s="8"/>
      <c r="F41" s="10" t="s">
        <v>47</v>
      </c>
      <c r="G41" s="30">
        <v>0</v>
      </c>
      <c r="H41" s="8" t="s">
        <v>48</v>
      </c>
      <c r="I41" s="10"/>
      <c r="J41" s="30">
        <v>0</v>
      </c>
    </row>
    <row r="42" spans="2:10">
      <c r="B42" s="3" t="s">
        <v>49</v>
      </c>
      <c r="C42" s="4"/>
      <c r="D42" s="29"/>
      <c r="E42" s="2" t="s">
        <v>234</v>
      </c>
      <c r="F42" s="4"/>
      <c r="G42" s="29"/>
      <c r="H42" s="2" t="s">
        <v>51</v>
      </c>
      <c r="I42" s="4"/>
      <c r="J42" s="29"/>
    </row>
    <row r="43" spans="2:10">
      <c r="B43" s="12"/>
      <c r="C43" s="10" t="s">
        <v>46</v>
      </c>
      <c r="D43" s="30" t="s">
        <v>55</v>
      </c>
      <c r="E43" s="8" t="s">
        <v>235</v>
      </c>
      <c r="F43" s="10"/>
      <c r="G43" s="30">
        <v>0</v>
      </c>
      <c r="H43" s="8"/>
      <c r="I43" s="10"/>
      <c r="J43" s="30">
        <v>0</v>
      </c>
    </row>
    <row r="44" spans="2:10">
      <c r="B44" s="3" t="s">
        <v>52</v>
      </c>
      <c r="C44" s="4"/>
      <c r="D44" s="29"/>
      <c r="E44" s="2" t="s">
        <v>53</v>
      </c>
      <c r="F44" s="51" t="e">
        <f>(D37+D41+D43)*8%</f>
        <v>#VALUE!</v>
      </c>
      <c r="H44" s="2" t="s">
        <v>54</v>
      </c>
      <c r="I44" s="4"/>
      <c r="J44" s="29"/>
    </row>
    <row r="45" spans="2:10">
      <c r="B45" s="12">
        <v>41</v>
      </c>
      <c r="C45" s="10" t="s">
        <v>46</v>
      </c>
      <c r="D45" s="30">
        <v>3342.41</v>
      </c>
      <c r="E45" s="14"/>
      <c r="F45" s="10" t="s">
        <v>56</v>
      </c>
      <c r="G45" s="30">
        <v>3216.72</v>
      </c>
      <c r="H45" s="8"/>
      <c r="I45" s="10"/>
      <c r="J45" s="30"/>
    </row>
    <row r="46" spans="2:10">
      <c r="B46" s="3" t="s">
        <v>57</v>
      </c>
      <c r="C46" s="4"/>
      <c r="D46" s="29"/>
      <c r="E46" s="2" t="s">
        <v>58</v>
      </c>
      <c r="F46" s="4"/>
      <c r="G46" s="29"/>
      <c r="H46" s="2" t="s">
        <v>59</v>
      </c>
      <c r="I46" s="4"/>
      <c r="J46" s="29"/>
    </row>
    <row r="47" spans="2:10">
      <c r="B47" s="12"/>
      <c r="C47" s="10"/>
      <c r="D47" s="30"/>
      <c r="E47" s="33">
        <v>0.4</v>
      </c>
      <c r="F47" s="10"/>
      <c r="G47" s="30" t="s">
        <v>55</v>
      </c>
      <c r="H47" s="8" t="s">
        <v>60</v>
      </c>
      <c r="I47" s="10"/>
      <c r="J47" s="30">
        <v>0</v>
      </c>
    </row>
    <row r="48" spans="2:10">
      <c r="B48" s="3" t="s">
        <v>61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313</v>
      </c>
      <c r="C49" s="10"/>
      <c r="D49" s="30">
        <v>1114.1300000000001</v>
      </c>
      <c r="E49" s="8" t="s">
        <v>65</v>
      </c>
      <c r="F49" s="10"/>
      <c r="G49" s="30"/>
      <c r="H49" s="8"/>
      <c r="I49" s="10"/>
      <c r="J49" s="30">
        <v>0</v>
      </c>
    </row>
    <row r="50" spans="2:10">
      <c r="B50" s="3" t="s">
        <v>66</v>
      </c>
      <c r="C50" s="4"/>
      <c r="D50" s="29"/>
      <c r="E50" s="2" t="s">
        <v>67</v>
      </c>
      <c r="F50" s="4"/>
      <c r="G50" s="29"/>
      <c r="H50" s="2" t="s">
        <v>68</v>
      </c>
      <c r="I50" s="4"/>
      <c r="J50" s="29"/>
    </row>
    <row r="51" spans="2:10">
      <c r="B51" s="9"/>
      <c r="C51" s="10"/>
      <c r="D51" s="30"/>
      <c r="E51" s="8"/>
      <c r="F51" s="10"/>
      <c r="G51" s="30" t="s">
        <v>55</v>
      </c>
      <c r="H51" s="8" t="s">
        <v>69</v>
      </c>
      <c r="I51" s="10"/>
      <c r="J51" s="30">
        <f>SUM(J36:J49)</f>
        <v>0</v>
      </c>
    </row>
    <row r="52" spans="2:10">
      <c r="B52" s="3" t="s">
        <v>70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314</v>
      </c>
      <c r="C53" s="10"/>
      <c r="D53" s="30"/>
      <c r="E53" s="8"/>
      <c r="F53" s="10"/>
      <c r="G53" s="30">
        <f>SUM(G36:G51)+D54</f>
        <v>11015.67</v>
      </c>
      <c r="H53" s="8"/>
      <c r="I53" s="10"/>
      <c r="J53" s="30">
        <f>G53</f>
        <v>11015.67</v>
      </c>
    </row>
    <row r="54" spans="2:10" ht="8.25" customHeight="1">
      <c r="D54" s="36">
        <f>SUM(D36:D53)</f>
        <v>7798.95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84513888888888899" bottom="2.9861111111111099E-2" header="0.511811023622047" footer="0.511811023622047"/>
  <pageSetup paperSize="9" scale="95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74"/>
  <sheetViews>
    <sheetView zoomScaleNormal="100" workbookViewId="0">
      <selection activeCell="L30" activeCellId="2" sqref="G45 G49 L30"/>
    </sheetView>
  </sheetViews>
  <sheetFormatPr defaultColWidth="9.140625" defaultRowHeight="11.25" customHeight="1"/>
  <cols>
    <col min="1" max="1" width="7.5703125" style="1" customWidth="1"/>
    <col min="2" max="2" width="10.42578125" style="1" customWidth="1"/>
    <col min="3" max="3" width="9.42578125" style="1" customWidth="1"/>
    <col min="4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247</v>
      </c>
      <c r="C5" s="4"/>
      <c r="D5" s="2" t="s">
        <v>221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315</v>
      </c>
      <c r="C7" s="13"/>
      <c r="D7" s="14" t="s">
        <v>316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B10" s="11" t="s">
        <v>317</v>
      </c>
      <c r="C10" s="12"/>
      <c r="D10" s="12"/>
      <c r="E10" s="12"/>
      <c r="H10" s="12"/>
      <c r="I10" s="14" t="s">
        <v>174</v>
      </c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318</v>
      </c>
      <c r="C13" s="12"/>
      <c r="D13" s="13"/>
      <c r="E13" s="16" t="s">
        <v>161</v>
      </c>
      <c r="F13" s="14" t="s">
        <v>319</v>
      </c>
      <c r="G13" s="13"/>
      <c r="H13" s="18"/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/>
      <c r="C17" s="12"/>
      <c r="D17" s="14" t="s">
        <v>320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2"/>
      <c r="C20" s="12"/>
      <c r="D20" s="12"/>
      <c r="E20" s="12"/>
      <c r="H20" s="12"/>
      <c r="I20" s="14" t="s">
        <v>174</v>
      </c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 t="s">
        <v>258</v>
      </c>
      <c r="C23" s="12"/>
      <c r="D23" s="12"/>
      <c r="E23" s="16" t="s">
        <v>161</v>
      </c>
      <c r="F23" s="14" t="s">
        <v>321</v>
      </c>
      <c r="G23" s="13"/>
      <c r="H23" s="14"/>
      <c r="I23" s="12"/>
      <c r="J23" s="13"/>
    </row>
    <row r="24" spans="2:10">
      <c r="B24" s="3" t="s">
        <v>226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12" t="s">
        <v>322</v>
      </c>
      <c r="C26" s="12"/>
      <c r="D26" s="19">
        <v>35778</v>
      </c>
      <c r="E26" s="13"/>
      <c r="F26" s="14" t="s">
        <v>323</v>
      </c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1300</v>
      </c>
      <c r="D30" s="13"/>
      <c r="E30" s="22">
        <v>43965</v>
      </c>
      <c r="F30" s="23"/>
      <c r="G30" s="19"/>
      <c r="H30" s="13"/>
      <c r="I30" s="19">
        <v>44232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0" s="11" customFormat="1">
      <c r="B33" s="12" t="s">
        <v>324</v>
      </c>
      <c r="C33" s="12"/>
      <c r="D33" s="12"/>
      <c r="E33" s="14"/>
      <c r="F33" s="13"/>
      <c r="G33" s="12"/>
      <c r="H33" s="13"/>
      <c r="I33" s="14" t="s">
        <v>33</v>
      </c>
      <c r="J33" s="13"/>
    </row>
    <row r="34" spans="2:10" ht="8.25" customHeight="1"/>
    <row r="35" spans="2:10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0">
      <c r="B36" s="1" t="s">
        <v>229</v>
      </c>
      <c r="C36" s="7"/>
      <c r="D36" s="28"/>
      <c r="E36" s="5" t="s">
        <v>270</v>
      </c>
      <c r="F36" s="7"/>
      <c r="G36" s="28"/>
      <c r="H36" s="2" t="s">
        <v>38</v>
      </c>
      <c r="I36" s="4"/>
      <c r="J36" s="29"/>
    </row>
    <row r="37" spans="2:10">
      <c r="B37" s="9" t="s">
        <v>231</v>
      </c>
      <c r="C37" s="10"/>
      <c r="D37" s="30">
        <v>0</v>
      </c>
      <c r="E37" s="8"/>
      <c r="F37" s="10"/>
      <c r="G37" s="30">
        <v>0</v>
      </c>
      <c r="H37" s="8"/>
      <c r="I37" s="10"/>
      <c r="J37" s="30">
        <v>0</v>
      </c>
    </row>
    <row r="38" spans="2:10">
      <c r="B38" s="3" t="s">
        <v>39</v>
      </c>
      <c r="C38" s="4"/>
      <c r="D38" s="29"/>
      <c r="E38" s="1" t="s">
        <v>233</v>
      </c>
      <c r="G38" s="29"/>
      <c r="H38" s="2" t="s">
        <v>41</v>
      </c>
      <c r="I38" s="4"/>
      <c r="J38" s="29"/>
    </row>
    <row r="39" spans="2:10">
      <c r="B39" s="12">
        <v>5</v>
      </c>
      <c r="C39" s="10" t="s">
        <v>109</v>
      </c>
      <c r="D39" s="30">
        <f>C30/30*5</f>
        <v>216.66666666666669</v>
      </c>
      <c r="G39" s="30"/>
      <c r="H39" s="8" t="s">
        <v>42</v>
      </c>
      <c r="I39" s="10"/>
      <c r="J39" s="30">
        <v>0</v>
      </c>
    </row>
    <row r="40" spans="2:10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</row>
    <row r="41" spans="2:10">
      <c r="B41" s="12">
        <v>9</v>
      </c>
      <c r="C41" s="10" t="s">
        <v>46</v>
      </c>
      <c r="D41" s="30">
        <f>C30/12*9</f>
        <v>975</v>
      </c>
      <c r="E41" s="8"/>
      <c r="F41" s="10" t="s">
        <v>47</v>
      </c>
      <c r="G41" s="30">
        <v>0</v>
      </c>
      <c r="H41" s="8" t="s">
        <v>325</v>
      </c>
      <c r="I41" s="10"/>
      <c r="J41" s="30">
        <v>0</v>
      </c>
    </row>
    <row r="42" spans="2:10">
      <c r="B42" s="3" t="s">
        <v>49</v>
      </c>
      <c r="C42" s="4"/>
      <c r="D42" s="29"/>
      <c r="E42" s="2" t="s">
        <v>234</v>
      </c>
      <c r="F42" s="4"/>
      <c r="G42" s="29"/>
      <c r="H42" s="2" t="s">
        <v>51</v>
      </c>
      <c r="I42" s="4"/>
      <c r="J42" s="29"/>
    </row>
    <row r="43" spans="2:10">
      <c r="B43" s="12"/>
      <c r="C43" s="10" t="s">
        <v>46</v>
      </c>
      <c r="D43" s="30">
        <v>0</v>
      </c>
      <c r="E43" s="8" t="s">
        <v>235</v>
      </c>
      <c r="F43" s="10"/>
      <c r="G43" s="30">
        <v>0</v>
      </c>
      <c r="H43" s="8"/>
      <c r="I43" s="10"/>
      <c r="J43" s="30">
        <v>0</v>
      </c>
    </row>
    <row r="44" spans="2:10">
      <c r="B44" s="3" t="s">
        <v>52</v>
      </c>
      <c r="C44" s="4"/>
      <c r="D44" s="29"/>
      <c r="E44" s="2" t="s">
        <v>53</v>
      </c>
      <c r="F44" s="51">
        <f>(D37+D41+D43)*8%</f>
        <v>78</v>
      </c>
      <c r="H44" s="2" t="s">
        <v>54</v>
      </c>
      <c r="I44" s="4"/>
      <c r="J44" s="29"/>
    </row>
    <row r="45" spans="2:10">
      <c r="B45" s="12"/>
      <c r="C45" s="10" t="s">
        <v>46</v>
      </c>
      <c r="D45" s="30">
        <f>(C30/12)*B45</f>
        <v>0</v>
      </c>
      <c r="E45" s="14"/>
      <c r="F45" s="10" t="s">
        <v>56</v>
      </c>
      <c r="G45" s="30">
        <v>989.72</v>
      </c>
      <c r="H45" s="8" t="s">
        <v>326</v>
      </c>
      <c r="I45" s="10"/>
      <c r="J45" s="30"/>
    </row>
    <row r="46" spans="2:10">
      <c r="B46" s="3" t="s">
        <v>237</v>
      </c>
      <c r="C46" s="4"/>
      <c r="D46" s="29"/>
      <c r="E46" s="2" t="s">
        <v>58</v>
      </c>
      <c r="F46" s="4"/>
      <c r="G46" s="29"/>
      <c r="H46" s="2" t="s">
        <v>59</v>
      </c>
      <c r="I46" s="4"/>
      <c r="J46" s="29"/>
    </row>
    <row r="47" spans="2:10">
      <c r="B47" s="12">
        <v>9</v>
      </c>
      <c r="C47" s="10" t="s">
        <v>238</v>
      </c>
      <c r="D47" s="30">
        <f>C30/12*9</f>
        <v>975</v>
      </c>
      <c r="E47" s="33">
        <v>0.4</v>
      </c>
      <c r="F47" s="10"/>
      <c r="G47" s="30">
        <v>0</v>
      </c>
      <c r="H47" s="8" t="s">
        <v>327</v>
      </c>
      <c r="I47" s="10"/>
      <c r="J47" s="30"/>
    </row>
    <row r="48" spans="2:10">
      <c r="B48" s="3" t="s">
        <v>240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241</v>
      </c>
      <c r="C49" s="10"/>
      <c r="D49" s="30">
        <f>D47/3</f>
        <v>325</v>
      </c>
      <c r="E49" s="8" t="s">
        <v>65</v>
      </c>
      <c r="F49" s="10"/>
      <c r="G49" s="30"/>
      <c r="H49" s="8" t="s">
        <v>328</v>
      </c>
      <c r="I49" s="10"/>
      <c r="J49" s="30"/>
    </row>
    <row r="50" spans="2:10">
      <c r="B50" s="3" t="s">
        <v>242</v>
      </c>
      <c r="C50" s="4"/>
      <c r="D50" s="29"/>
      <c r="E50" s="2" t="s">
        <v>243</v>
      </c>
      <c r="F50" s="4"/>
      <c r="G50" s="29"/>
      <c r="H50" s="2" t="s">
        <v>68</v>
      </c>
      <c r="I50" s="4"/>
      <c r="J50" s="29"/>
    </row>
    <row r="51" spans="2:10">
      <c r="B51" s="9"/>
      <c r="C51" s="10" t="s">
        <v>109</v>
      </c>
      <c r="D51" s="30">
        <v>0</v>
      </c>
      <c r="E51" s="8" t="s">
        <v>244</v>
      </c>
      <c r="F51" s="10"/>
      <c r="G51" s="30">
        <v>0</v>
      </c>
      <c r="H51" s="8" t="s">
        <v>69</v>
      </c>
      <c r="I51" s="10"/>
      <c r="J51" s="30">
        <f>SUM(J36:J49)</f>
        <v>0</v>
      </c>
    </row>
    <row r="52" spans="2:10">
      <c r="B52" s="3" t="s">
        <v>245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246</v>
      </c>
      <c r="C53" s="10"/>
      <c r="D53" s="30">
        <v>0</v>
      </c>
      <c r="E53" s="8"/>
      <c r="F53" s="10"/>
      <c r="G53" s="30">
        <f>D39+D41+D47+D49+G45</f>
        <v>3481.3866666666672</v>
      </c>
      <c r="H53" s="8"/>
      <c r="I53" s="10"/>
      <c r="J53" s="30">
        <f>(G53-J51)</f>
        <v>3481.3866666666672</v>
      </c>
    </row>
    <row r="54" spans="2:10" ht="8.25" customHeight="1">
      <c r="D54" s="36">
        <f>SUM(D36:D53)</f>
        <v>2491.666666666667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25" bottom="2.9861111111111099E-2" header="0.511811023622047" footer="0.511811023622047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74"/>
  <sheetViews>
    <sheetView zoomScaleNormal="100" workbookViewId="0">
      <selection activeCell="J38" activeCellId="2" sqref="G45 G49 J38"/>
    </sheetView>
  </sheetViews>
  <sheetFormatPr defaultColWidth="9.140625" defaultRowHeight="11.25" customHeight="1"/>
  <cols>
    <col min="1" max="1" width="7.5703125" style="1" customWidth="1"/>
    <col min="2" max="2" width="10.42578125" style="1" customWidth="1"/>
    <col min="3" max="3" width="9.42578125" style="1" customWidth="1"/>
    <col min="4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247</v>
      </c>
      <c r="C5" s="4"/>
      <c r="D5" s="2" t="s">
        <v>221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329</v>
      </c>
      <c r="C7" s="13"/>
      <c r="D7" s="14" t="s">
        <v>330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C10" s="12"/>
      <c r="D10" s="12"/>
      <c r="E10" s="12"/>
      <c r="H10" s="12"/>
      <c r="I10" s="14" t="s">
        <v>174</v>
      </c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331</v>
      </c>
      <c r="C13" s="12"/>
      <c r="D13" s="13"/>
      <c r="E13" s="55" t="s">
        <v>161</v>
      </c>
      <c r="F13" s="14"/>
      <c r="G13" s="13"/>
      <c r="H13" s="18"/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/>
      <c r="C17" s="12"/>
      <c r="D17" s="14" t="s">
        <v>332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2"/>
      <c r="C20" s="12"/>
      <c r="D20" s="12"/>
      <c r="E20" s="12"/>
      <c r="H20" s="12"/>
      <c r="I20" s="14"/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 t="s">
        <v>331</v>
      </c>
      <c r="C23" s="12"/>
      <c r="D23" s="12"/>
      <c r="E23" s="55" t="s">
        <v>161</v>
      </c>
      <c r="F23" s="14"/>
      <c r="G23" s="13"/>
      <c r="H23" s="14"/>
      <c r="I23" s="12"/>
      <c r="J23" s="13"/>
    </row>
    <row r="24" spans="2:10">
      <c r="B24" s="3" t="s">
        <v>226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12"/>
      <c r="C26" s="12"/>
      <c r="D26" s="19"/>
      <c r="E26" s="13"/>
      <c r="F26" s="14"/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1045</v>
      </c>
      <c r="D30" s="13"/>
      <c r="E30" s="22">
        <v>43895</v>
      </c>
      <c r="F30" s="23"/>
      <c r="G30" s="19"/>
      <c r="H30" s="13"/>
      <c r="I30" s="19">
        <v>43957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0" s="11" customFormat="1">
      <c r="B33" s="12" t="s">
        <v>228</v>
      </c>
      <c r="C33" s="12"/>
      <c r="D33" s="12"/>
      <c r="E33" s="14"/>
      <c r="F33" s="13"/>
      <c r="G33" s="12"/>
      <c r="H33" s="13"/>
      <c r="I33" s="14"/>
      <c r="J33" s="13"/>
    </row>
    <row r="34" spans="2:10" ht="8.25" customHeight="1"/>
    <row r="35" spans="2:10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0">
      <c r="B36" s="1" t="s">
        <v>229</v>
      </c>
      <c r="C36" s="7"/>
      <c r="D36" s="28"/>
      <c r="E36" s="5" t="s">
        <v>270</v>
      </c>
      <c r="F36" s="7"/>
      <c r="G36" s="28"/>
      <c r="H36" s="2" t="s">
        <v>38</v>
      </c>
      <c r="I36" s="4"/>
      <c r="J36" s="29"/>
    </row>
    <row r="37" spans="2:10">
      <c r="B37" s="9" t="s">
        <v>333</v>
      </c>
      <c r="C37" s="10"/>
      <c r="D37" s="30">
        <v>0</v>
      </c>
      <c r="E37" s="8"/>
      <c r="F37" s="10"/>
      <c r="G37" s="30">
        <v>0</v>
      </c>
      <c r="H37" s="8"/>
      <c r="I37" s="10"/>
      <c r="J37" s="30"/>
    </row>
    <row r="38" spans="2:10">
      <c r="B38" s="3" t="s">
        <v>39</v>
      </c>
      <c r="C38" s="4"/>
      <c r="D38" s="29"/>
      <c r="E38" s="1" t="s">
        <v>233</v>
      </c>
      <c r="G38" s="29">
        <v>0</v>
      </c>
      <c r="H38" s="2" t="s">
        <v>41</v>
      </c>
      <c r="I38" s="4"/>
      <c r="J38" s="29">
        <v>0</v>
      </c>
    </row>
    <row r="39" spans="2:10">
      <c r="B39" s="12"/>
      <c r="C39" s="10" t="s">
        <v>109</v>
      </c>
      <c r="D39" s="30"/>
      <c r="G39" s="30">
        <v>0</v>
      </c>
      <c r="H39" s="8" t="s">
        <v>42</v>
      </c>
      <c r="I39" s="10"/>
      <c r="J39" s="30"/>
    </row>
    <row r="40" spans="2:10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</row>
    <row r="41" spans="2:10">
      <c r="B41" s="12">
        <v>2</v>
      </c>
      <c r="C41" s="10" t="s">
        <v>46</v>
      </c>
      <c r="D41" s="30">
        <f>C30/12*2</f>
        <v>174.16666666666666</v>
      </c>
      <c r="E41" s="8"/>
      <c r="F41" s="10" t="s">
        <v>47</v>
      </c>
      <c r="G41" s="30">
        <v>0</v>
      </c>
      <c r="H41" s="8"/>
      <c r="I41" s="10"/>
      <c r="J41" s="30">
        <v>0</v>
      </c>
    </row>
    <row r="42" spans="2:10">
      <c r="B42" s="3" t="s">
        <v>49</v>
      </c>
      <c r="C42" s="4"/>
      <c r="D42" s="29"/>
      <c r="E42" s="2" t="s">
        <v>234</v>
      </c>
      <c r="F42" s="4"/>
      <c r="G42" s="29"/>
      <c r="H42" s="2" t="s">
        <v>51</v>
      </c>
      <c r="I42" s="4"/>
      <c r="J42" s="29"/>
    </row>
    <row r="43" spans="2:10">
      <c r="B43" s="12"/>
      <c r="C43" s="10" t="s">
        <v>46</v>
      </c>
      <c r="D43" s="30">
        <v>0</v>
      </c>
      <c r="E43" s="8" t="s">
        <v>235</v>
      </c>
      <c r="F43" s="10"/>
      <c r="G43" s="30">
        <v>0</v>
      </c>
      <c r="H43" s="8"/>
      <c r="I43" s="10"/>
      <c r="J43" s="30">
        <v>0</v>
      </c>
    </row>
    <row r="44" spans="2:10">
      <c r="B44" s="3" t="s">
        <v>52</v>
      </c>
      <c r="C44" s="4"/>
      <c r="D44" s="29"/>
      <c r="E44" s="2" t="s">
        <v>53</v>
      </c>
      <c r="F44" s="51">
        <f>(D37+D41+D43)*8%</f>
        <v>13.933333333333334</v>
      </c>
      <c r="H44" s="2" t="s">
        <v>54</v>
      </c>
      <c r="I44" s="4"/>
      <c r="J44" s="29"/>
    </row>
    <row r="45" spans="2:10">
      <c r="B45" s="12"/>
      <c r="C45" s="10" t="s">
        <v>46</v>
      </c>
      <c r="D45" s="30">
        <f>(C30/12)*B45</f>
        <v>0</v>
      </c>
      <c r="E45" s="14"/>
      <c r="F45" s="10" t="s">
        <v>56</v>
      </c>
      <c r="G45" s="30">
        <v>197.84</v>
      </c>
      <c r="H45" s="8" t="s">
        <v>334</v>
      </c>
      <c r="I45" s="10"/>
      <c r="J45" s="30">
        <v>0</v>
      </c>
    </row>
    <row r="46" spans="2:10">
      <c r="B46" s="3" t="s">
        <v>237</v>
      </c>
      <c r="C46" s="4"/>
      <c r="D46" s="29"/>
      <c r="E46" s="2" t="s">
        <v>58</v>
      </c>
      <c r="F46" s="4"/>
      <c r="G46" s="29"/>
      <c r="H46" s="2" t="s">
        <v>59</v>
      </c>
      <c r="I46" s="4"/>
      <c r="J46" s="29"/>
    </row>
    <row r="47" spans="2:10">
      <c r="B47" s="12">
        <v>2</v>
      </c>
      <c r="C47" s="10" t="s">
        <v>238</v>
      </c>
      <c r="D47" s="30">
        <f>C30/12*2</f>
        <v>174.16666666666666</v>
      </c>
      <c r="E47" s="33">
        <v>0.4</v>
      </c>
      <c r="F47" s="10"/>
      <c r="G47" s="30">
        <v>0</v>
      </c>
      <c r="H47" s="8" t="s">
        <v>335</v>
      </c>
      <c r="I47" s="10"/>
      <c r="J47" s="30"/>
    </row>
    <row r="48" spans="2:10">
      <c r="B48" s="3" t="s">
        <v>240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241</v>
      </c>
      <c r="C49" s="10"/>
      <c r="D49" s="30">
        <f>D47/3</f>
        <v>58.05555555555555</v>
      </c>
      <c r="E49" s="8" t="s">
        <v>65</v>
      </c>
      <c r="F49" s="10"/>
      <c r="G49" s="30"/>
      <c r="H49" s="8"/>
      <c r="I49" s="10"/>
      <c r="J49" s="30">
        <v>0</v>
      </c>
    </row>
    <row r="50" spans="2:10">
      <c r="B50" s="3" t="s">
        <v>336</v>
      </c>
      <c r="C50" s="4"/>
      <c r="D50" s="29"/>
      <c r="E50" s="34" t="s">
        <v>337</v>
      </c>
      <c r="F50" s="56"/>
      <c r="G50" s="29"/>
      <c r="H50" s="2" t="s">
        <v>68</v>
      </c>
      <c r="I50" s="4"/>
      <c r="J50" s="29"/>
    </row>
    <row r="51" spans="2:10">
      <c r="B51" s="12"/>
      <c r="C51" s="10" t="s">
        <v>338</v>
      </c>
      <c r="D51" s="30">
        <v>0</v>
      </c>
      <c r="E51" s="14" t="s">
        <v>339</v>
      </c>
      <c r="F51" s="13"/>
      <c r="G51" s="30">
        <v>0</v>
      </c>
      <c r="H51" s="8" t="s">
        <v>69</v>
      </c>
      <c r="I51" s="10"/>
      <c r="J51" s="30"/>
    </row>
    <row r="52" spans="2:10">
      <c r="B52" s="3" t="s">
        <v>245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246</v>
      </c>
      <c r="C53" s="10"/>
      <c r="D53" s="30">
        <v>0</v>
      </c>
      <c r="E53" s="8"/>
      <c r="F53" s="10"/>
      <c r="G53" s="30">
        <f>D41+D47+D49+G45</f>
        <v>604.22888888888883</v>
      </c>
      <c r="H53" s="8"/>
      <c r="I53" s="10"/>
      <c r="J53" s="30">
        <f>(G53-J51)</f>
        <v>604.22888888888883</v>
      </c>
    </row>
    <row r="54" spans="2:10" ht="8.25" customHeight="1">
      <c r="D54" s="36">
        <f>SUM(D36:D53)</f>
        <v>406.38888888888886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25" bottom="2.9861111111111099E-2" header="0.511811023622047" footer="0.511811023622047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74"/>
  <sheetViews>
    <sheetView zoomScaleNormal="100" workbookViewId="0">
      <selection activeCell="G54" activeCellId="2" sqref="G45 G49 G54"/>
    </sheetView>
  </sheetViews>
  <sheetFormatPr defaultColWidth="9.140625" defaultRowHeight="11.25" customHeight="1"/>
  <cols>
    <col min="1" max="1" width="7.5703125" style="1" customWidth="1"/>
    <col min="2" max="2" width="11.7109375" style="1" customWidth="1"/>
    <col min="3" max="3" width="9.42578125" style="1" customWidth="1"/>
    <col min="4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247</v>
      </c>
      <c r="C5" s="4"/>
      <c r="D5" s="2" t="s">
        <v>221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340</v>
      </c>
      <c r="C7" s="13"/>
      <c r="D7" s="14" t="s">
        <v>341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C10" s="12"/>
      <c r="D10" s="12"/>
      <c r="E10" s="12"/>
      <c r="H10" s="12"/>
      <c r="I10" s="14" t="s">
        <v>174</v>
      </c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342</v>
      </c>
      <c r="C13" s="12"/>
      <c r="D13" s="13"/>
      <c r="E13" s="55" t="s">
        <v>343</v>
      </c>
      <c r="F13" s="14"/>
      <c r="G13" s="13"/>
      <c r="H13" s="18"/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/>
      <c r="C17" s="12"/>
      <c r="D17" s="14" t="s">
        <v>344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2"/>
      <c r="C20" s="12"/>
      <c r="D20" s="12"/>
      <c r="E20" s="12"/>
      <c r="H20" s="12"/>
      <c r="I20" s="14"/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 t="s">
        <v>342</v>
      </c>
      <c r="C23" s="12"/>
      <c r="D23" s="12"/>
      <c r="E23" s="55" t="s">
        <v>343</v>
      </c>
      <c r="F23" s="14"/>
      <c r="G23" s="13"/>
      <c r="H23" s="14"/>
      <c r="I23" s="12"/>
      <c r="J23" s="13"/>
    </row>
    <row r="24" spans="2:10">
      <c r="B24" s="3" t="s">
        <v>226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57" t="s">
        <v>345</v>
      </c>
      <c r="C26" s="12"/>
      <c r="D26" s="19"/>
      <c r="E26" s="13"/>
      <c r="F26" s="14"/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1128.5999999999999</v>
      </c>
      <c r="D30" s="13"/>
      <c r="E30" s="22">
        <v>44180</v>
      </c>
      <c r="F30" s="23"/>
      <c r="G30" s="19"/>
      <c r="H30" s="13"/>
      <c r="I30" s="19" t="s">
        <v>346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0" s="11" customFormat="1">
      <c r="B33" s="12" t="s">
        <v>228</v>
      </c>
      <c r="C33" s="12"/>
      <c r="D33" s="12"/>
      <c r="E33" s="14"/>
      <c r="F33" s="13"/>
      <c r="G33" s="12"/>
      <c r="H33" s="13"/>
      <c r="I33" s="14"/>
      <c r="J33" s="13"/>
    </row>
    <row r="34" spans="2:10" ht="8.25" customHeight="1"/>
    <row r="35" spans="2:10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0">
      <c r="B36" s="1" t="s">
        <v>229</v>
      </c>
      <c r="C36" s="7"/>
      <c r="D36" s="28"/>
      <c r="E36" s="5" t="s">
        <v>270</v>
      </c>
      <c r="F36" s="7"/>
      <c r="G36" s="28"/>
      <c r="H36" s="2" t="s">
        <v>38</v>
      </c>
      <c r="I36" s="4"/>
      <c r="J36" s="29"/>
    </row>
    <row r="37" spans="2:10">
      <c r="B37" s="9" t="s">
        <v>333</v>
      </c>
      <c r="C37" s="10"/>
      <c r="D37" s="30">
        <v>0</v>
      </c>
      <c r="E37" s="8"/>
      <c r="F37" s="10"/>
      <c r="G37" s="30">
        <v>0</v>
      </c>
      <c r="H37" s="8"/>
      <c r="I37" s="10"/>
      <c r="J37" s="30">
        <v>0</v>
      </c>
    </row>
    <row r="38" spans="2:10">
      <c r="B38" s="3" t="s">
        <v>39</v>
      </c>
      <c r="C38" s="4"/>
      <c r="D38" s="29"/>
      <c r="E38" s="1" t="s">
        <v>233</v>
      </c>
      <c r="G38" s="29"/>
      <c r="H38" s="2" t="s">
        <v>41</v>
      </c>
      <c r="I38" s="4"/>
      <c r="J38" s="29">
        <v>0</v>
      </c>
    </row>
    <row r="39" spans="2:10">
      <c r="B39" s="12">
        <v>2</v>
      </c>
      <c r="C39" s="10" t="s">
        <v>109</v>
      </c>
      <c r="D39" s="30">
        <v>75.239999999999995</v>
      </c>
      <c r="G39" s="30">
        <v>0</v>
      </c>
      <c r="H39" s="8" t="s">
        <v>42</v>
      </c>
      <c r="I39" s="10"/>
      <c r="J39" s="30">
        <v>0</v>
      </c>
    </row>
    <row r="40" spans="2:10">
      <c r="B40" s="3" t="s">
        <v>43</v>
      </c>
      <c r="C40" s="4"/>
      <c r="D40" s="29"/>
      <c r="E40" s="2" t="s">
        <v>347</v>
      </c>
      <c r="F40" s="4"/>
      <c r="G40" s="29"/>
      <c r="H40" s="2" t="s">
        <v>45</v>
      </c>
      <c r="I40" s="4"/>
      <c r="J40" s="29"/>
    </row>
    <row r="41" spans="2:10">
      <c r="B41" s="12">
        <v>1</v>
      </c>
      <c r="C41" s="10" t="s">
        <v>46</v>
      </c>
      <c r="D41" s="30">
        <f>C30/12</f>
        <v>94.05</v>
      </c>
      <c r="E41" s="8">
        <v>20</v>
      </c>
      <c r="F41" s="10" t="s">
        <v>47</v>
      </c>
      <c r="G41" s="30"/>
      <c r="H41" s="8"/>
      <c r="I41" s="10"/>
      <c r="J41" s="30">
        <v>0</v>
      </c>
    </row>
    <row r="42" spans="2:10">
      <c r="B42" s="3" t="s">
        <v>49</v>
      </c>
      <c r="C42" s="4"/>
      <c r="D42" s="29"/>
      <c r="E42" s="2" t="s">
        <v>348</v>
      </c>
      <c r="F42" s="4"/>
      <c r="G42" s="29"/>
      <c r="H42" s="2" t="s">
        <v>51</v>
      </c>
      <c r="I42" s="4"/>
      <c r="J42" s="29"/>
    </row>
    <row r="43" spans="2:10">
      <c r="B43" s="12"/>
      <c r="C43" s="10" t="s">
        <v>46</v>
      </c>
      <c r="D43" s="30"/>
      <c r="E43" s="8" t="s">
        <v>349</v>
      </c>
      <c r="F43" s="10"/>
      <c r="G43" s="30"/>
      <c r="H43" s="8"/>
      <c r="I43" s="10"/>
      <c r="J43" s="30">
        <v>0</v>
      </c>
    </row>
    <row r="44" spans="2:10">
      <c r="B44" s="3" t="s">
        <v>52</v>
      </c>
      <c r="C44" s="4"/>
      <c r="D44" s="29"/>
      <c r="E44" s="2" t="s">
        <v>53</v>
      </c>
      <c r="F44" s="51">
        <f>(D37+D41+D43)*8%</f>
        <v>7.524</v>
      </c>
      <c r="H44" s="2" t="s">
        <v>54</v>
      </c>
      <c r="I44" s="4"/>
      <c r="J44" s="29"/>
    </row>
    <row r="45" spans="2:10">
      <c r="B45" s="12"/>
      <c r="C45" s="10" t="s">
        <v>46</v>
      </c>
      <c r="D45" s="30"/>
      <c r="E45" s="14"/>
      <c r="F45" s="10" t="s">
        <v>56</v>
      </c>
      <c r="G45" s="30">
        <v>64.69</v>
      </c>
      <c r="H45" s="8" t="s">
        <v>334</v>
      </c>
      <c r="I45" s="10"/>
      <c r="J45" s="30">
        <v>0</v>
      </c>
    </row>
    <row r="46" spans="2:10">
      <c r="B46" s="3" t="s">
        <v>237</v>
      </c>
      <c r="C46" s="4"/>
      <c r="D46" s="29"/>
      <c r="E46" s="2" t="s">
        <v>58</v>
      </c>
      <c r="F46" s="4"/>
      <c r="G46" s="29"/>
      <c r="H46" s="2" t="s">
        <v>350</v>
      </c>
      <c r="I46" s="4"/>
      <c r="J46" s="29"/>
    </row>
    <row r="47" spans="2:10">
      <c r="B47" s="12">
        <v>1</v>
      </c>
      <c r="C47" s="10" t="s">
        <v>238</v>
      </c>
      <c r="D47" s="30">
        <f>C30/12</f>
        <v>94.05</v>
      </c>
      <c r="E47" s="33">
        <v>0.4</v>
      </c>
      <c r="F47" s="10"/>
      <c r="G47" s="30">
        <v>0</v>
      </c>
      <c r="H47" s="8">
        <v>6.1</v>
      </c>
      <c r="I47" s="10"/>
      <c r="J47" s="30"/>
    </row>
    <row r="48" spans="2:10">
      <c r="B48" s="3" t="s">
        <v>240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241</v>
      </c>
      <c r="C49" s="10"/>
      <c r="D49" s="30">
        <f>D47/3</f>
        <v>31.349999999999998</v>
      </c>
      <c r="E49" s="8" t="s">
        <v>65</v>
      </c>
      <c r="F49" s="10"/>
      <c r="G49" s="30"/>
      <c r="H49" s="8"/>
      <c r="I49" s="10"/>
      <c r="J49" s="30">
        <v>0</v>
      </c>
    </row>
    <row r="50" spans="2:10">
      <c r="B50" s="3" t="s">
        <v>336</v>
      </c>
      <c r="C50" s="4"/>
      <c r="D50" s="29"/>
      <c r="E50" s="2" t="s">
        <v>351</v>
      </c>
      <c r="F50" s="4"/>
      <c r="G50" s="29"/>
      <c r="H50" s="2" t="s">
        <v>68</v>
      </c>
      <c r="I50" s="4"/>
      <c r="J50" s="29"/>
    </row>
    <row r="51" spans="2:10">
      <c r="B51" s="12"/>
      <c r="C51" s="10" t="s">
        <v>338</v>
      </c>
      <c r="D51" s="30">
        <v>0</v>
      </c>
      <c r="E51" s="8" t="s">
        <v>352</v>
      </c>
      <c r="F51" s="10"/>
      <c r="G51" s="30"/>
      <c r="H51" s="8" t="s">
        <v>69</v>
      </c>
      <c r="I51" s="10"/>
      <c r="J51" s="30"/>
    </row>
    <row r="52" spans="2:10">
      <c r="B52" s="3" t="s">
        <v>245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246</v>
      </c>
      <c r="C53" s="10"/>
      <c r="D53" s="30">
        <v>0</v>
      </c>
      <c r="E53" s="8"/>
      <c r="F53" s="10"/>
      <c r="G53" s="30">
        <f>D39+D41+D47+D49+G45</f>
        <v>359.38</v>
      </c>
      <c r="H53" s="8"/>
      <c r="I53" s="10"/>
      <c r="J53" s="30">
        <f>G53-J51</f>
        <v>359.38</v>
      </c>
    </row>
    <row r="54" spans="2:10" ht="8.25" customHeight="1">
      <c r="D54" s="36">
        <f>SUM(D36:D53)</f>
        <v>294.69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25" right="0.25" top="0.75" bottom="0.75" header="0.511811023622047" footer="0.511811023622047"/>
  <pageSetup fitToWidth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74"/>
  <sheetViews>
    <sheetView zoomScaleNormal="100" workbookViewId="0">
      <selection activeCell="F47" activeCellId="2" sqref="G45 G49 F47"/>
    </sheetView>
  </sheetViews>
  <sheetFormatPr defaultColWidth="9.140625" defaultRowHeight="11.25" customHeight="1"/>
  <cols>
    <col min="1" max="1" width="7.5703125" style="1" customWidth="1"/>
    <col min="2" max="2" width="10.42578125" style="1" customWidth="1"/>
    <col min="3" max="3" width="9.42578125" style="1" customWidth="1"/>
    <col min="4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247</v>
      </c>
      <c r="C5" s="4"/>
      <c r="D5" s="2" t="s">
        <v>221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254</v>
      </c>
      <c r="C7" s="13"/>
      <c r="D7" s="14" t="s">
        <v>255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B10" s="11" t="s">
        <v>353</v>
      </c>
      <c r="C10" s="12"/>
      <c r="D10" s="12"/>
      <c r="E10" s="12"/>
      <c r="H10" s="12"/>
      <c r="I10" s="14"/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251</v>
      </c>
      <c r="C13" s="12"/>
      <c r="D13" s="13"/>
      <c r="E13" s="16" t="s">
        <v>161</v>
      </c>
      <c r="F13" s="14">
        <v>68570000</v>
      </c>
      <c r="G13" s="13"/>
      <c r="H13" s="18"/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/>
      <c r="C17" s="12"/>
      <c r="D17" s="14" t="s">
        <v>354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2"/>
      <c r="C20" s="12"/>
      <c r="D20" s="12"/>
      <c r="E20" s="12"/>
      <c r="H20" s="12"/>
      <c r="I20" s="14"/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/>
      <c r="C23" s="12"/>
      <c r="D23" s="12"/>
      <c r="E23" s="16"/>
      <c r="F23" s="14"/>
      <c r="G23" s="13"/>
      <c r="H23" s="14"/>
      <c r="I23" s="12"/>
      <c r="J23" s="13"/>
    </row>
    <row r="24" spans="2:10">
      <c r="B24" s="3" t="s">
        <v>226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12"/>
      <c r="C26" s="12"/>
      <c r="D26" s="19"/>
      <c r="E26" s="13"/>
      <c r="F26" s="14"/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1200</v>
      </c>
      <c r="D30" s="13"/>
      <c r="E30" s="22">
        <v>43570</v>
      </c>
      <c r="F30" s="23"/>
      <c r="G30" s="19"/>
      <c r="H30" s="58"/>
      <c r="I30" s="19">
        <v>44333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0" s="11" customFormat="1">
      <c r="B33" s="12"/>
      <c r="C33" s="12"/>
      <c r="D33" s="12"/>
      <c r="E33" s="14"/>
      <c r="F33" s="13"/>
      <c r="G33" s="12"/>
      <c r="H33" s="13"/>
      <c r="I33" s="14"/>
      <c r="J33" s="13"/>
    </row>
    <row r="34" spans="2:10" ht="8.25" customHeight="1"/>
    <row r="35" spans="2:10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0">
      <c r="B36" s="1" t="s">
        <v>229</v>
      </c>
      <c r="C36" s="7"/>
      <c r="D36" s="28"/>
      <c r="E36" s="5" t="s">
        <v>270</v>
      </c>
      <c r="F36" s="7"/>
      <c r="G36" s="28"/>
      <c r="H36" s="2" t="s">
        <v>38</v>
      </c>
      <c r="I36" s="4"/>
      <c r="J36" s="29"/>
    </row>
    <row r="37" spans="2:10">
      <c r="B37" s="9" t="s">
        <v>333</v>
      </c>
      <c r="C37" s="10"/>
      <c r="D37" s="30"/>
      <c r="E37" s="8"/>
      <c r="F37" s="10"/>
      <c r="G37" s="30">
        <v>0</v>
      </c>
      <c r="H37" s="8"/>
      <c r="I37" s="10"/>
      <c r="J37" s="30">
        <v>0</v>
      </c>
    </row>
    <row r="38" spans="2:10">
      <c r="B38" s="3" t="s">
        <v>39</v>
      </c>
      <c r="C38" s="4"/>
      <c r="D38" s="29"/>
      <c r="E38" s="1" t="s">
        <v>233</v>
      </c>
      <c r="G38" s="29"/>
      <c r="H38" s="2" t="s">
        <v>41</v>
      </c>
      <c r="I38" s="4"/>
      <c r="J38" s="29">
        <v>0</v>
      </c>
    </row>
    <row r="39" spans="2:10">
      <c r="B39" s="12">
        <v>17</v>
      </c>
      <c r="C39" s="10" t="s">
        <v>109</v>
      </c>
      <c r="D39" s="30">
        <v>680</v>
      </c>
      <c r="G39" s="30">
        <v>0</v>
      </c>
      <c r="H39" s="8" t="s">
        <v>42</v>
      </c>
      <c r="I39" s="10"/>
      <c r="J39" s="30">
        <v>0</v>
      </c>
    </row>
    <row r="40" spans="2:10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</row>
    <row r="41" spans="2:10">
      <c r="B41" s="12">
        <v>5</v>
      </c>
      <c r="C41" s="10" t="s">
        <v>46</v>
      </c>
      <c r="D41" s="30">
        <v>500</v>
      </c>
      <c r="E41" s="8"/>
      <c r="F41" s="10" t="s">
        <v>47</v>
      </c>
      <c r="G41" s="30">
        <v>0</v>
      </c>
      <c r="H41" s="8"/>
      <c r="I41" s="10"/>
      <c r="J41" s="30">
        <v>0</v>
      </c>
    </row>
    <row r="42" spans="2:10">
      <c r="B42" s="3" t="s">
        <v>49</v>
      </c>
      <c r="C42" s="4"/>
      <c r="D42" s="29"/>
      <c r="E42" s="2" t="s">
        <v>234</v>
      </c>
      <c r="F42" s="4"/>
      <c r="G42" s="29"/>
      <c r="H42" s="2" t="s">
        <v>51</v>
      </c>
      <c r="I42" s="4"/>
      <c r="J42" s="29"/>
    </row>
    <row r="43" spans="2:10">
      <c r="B43" s="12"/>
      <c r="C43" s="10" t="s">
        <v>46</v>
      </c>
      <c r="D43" s="30">
        <v>0</v>
      </c>
      <c r="E43" s="8" t="s">
        <v>235</v>
      </c>
      <c r="F43" s="10"/>
      <c r="G43" s="30">
        <v>0</v>
      </c>
      <c r="H43" s="8"/>
      <c r="I43" s="10"/>
      <c r="J43" s="30">
        <v>0</v>
      </c>
    </row>
    <row r="44" spans="2:10">
      <c r="B44" s="3" t="s">
        <v>52</v>
      </c>
      <c r="C44" s="4"/>
      <c r="D44" s="29"/>
      <c r="E44" s="25" t="s">
        <v>53</v>
      </c>
      <c r="F44" s="51">
        <f>(D37+D41+D43)*8%</f>
        <v>40</v>
      </c>
      <c r="H44" s="2" t="s">
        <v>54</v>
      </c>
      <c r="I44" s="4"/>
      <c r="J44" s="29"/>
    </row>
    <row r="45" spans="2:10">
      <c r="B45" s="12"/>
      <c r="C45" s="10" t="s">
        <v>46</v>
      </c>
      <c r="D45" s="30">
        <f>(C30/12)*B45</f>
        <v>0</v>
      </c>
      <c r="E45" s="14">
        <v>28</v>
      </c>
      <c r="F45" s="10" t="s">
        <v>56</v>
      </c>
      <c r="G45" s="30">
        <v>2688</v>
      </c>
      <c r="H45" s="8" t="s">
        <v>355</v>
      </c>
      <c r="I45" s="10"/>
      <c r="J45" s="30"/>
    </row>
    <row r="46" spans="2:10">
      <c r="B46" s="3" t="s">
        <v>237</v>
      </c>
      <c r="C46" s="4"/>
      <c r="D46" s="29"/>
      <c r="E46" s="2" t="s">
        <v>58</v>
      </c>
      <c r="F46" s="4"/>
      <c r="G46" s="29"/>
      <c r="H46" s="2" t="s">
        <v>59</v>
      </c>
      <c r="I46" s="4"/>
      <c r="J46" s="29"/>
    </row>
    <row r="47" spans="2:10">
      <c r="B47" s="12">
        <v>1</v>
      </c>
      <c r="C47" s="10" t="s">
        <v>238</v>
      </c>
      <c r="D47" s="30">
        <v>100</v>
      </c>
      <c r="E47" s="33">
        <v>0.4</v>
      </c>
      <c r="F47" s="10"/>
      <c r="G47" s="30">
        <v>0</v>
      </c>
      <c r="H47" s="8" t="s">
        <v>356</v>
      </c>
      <c r="I47" s="10"/>
      <c r="J47" s="30"/>
    </row>
    <row r="48" spans="2:10">
      <c r="B48" s="3" t="s">
        <v>240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241</v>
      </c>
      <c r="C49" s="10"/>
      <c r="D49" s="30">
        <f>D47/3</f>
        <v>33.333333333333336</v>
      </c>
      <c r="E49" s="8" t="s">
        <v>65</v>
      </c>
      <c r="F49" s="10"/>
      <c r="G49" s="30"/>
      <c r="H49" s="8"/>
      <c r="I49" s="10"/>
      <c r="J49" s="30">
        <v>0</v>
      </c>
    </row>
    <row r="50" spans="2:10">
      <c r="B50" s="3" t="s">
        <v>336</v>
      </c>
      <c r="C50" s="4"/>
      <c r="D50" s="29"/>
      <c r="E50" s="34" t="s">
        <v>337</v>
      </c>
      <c r="F50" s="56"/>
      <c r="G50" s="29"/>
      <c r="H50" s="2" t="s">
        <v>68</v>
      </c>
      <c r="I50" s="4"/>
      <c r="J50" s="29"/>
    </row>
    <row r="51" spans="2:10">
      <c r="B51" s="12"/>
      <c r="C51" s="10" t="s">
        <v>338</v>
      </c>
      <c r="D51" s="30">
        <v>0</v>
      </c>
      <c r="E51" s="14"/>
      <c r="F51" s="13"/>
      <c r="G51" s="30">
        <v>0</v>
      </c>
      <c r="H51" s="8" t="s">
        <v>69</v>
      </c>
      <c r="I51" s="10"/>
      <c r="J51" s="30"/>
    </row>
    <row r="52" spans="2:10">
      <c r="B52" s="3" t="s">
        <v>245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246</v>
      </c>
      <c r="C53" s="10"/>
      <c r="D53" s="30">
        <v>0</v>
      </c>
      <c r="E53" s="8"/>
      <c r="F53" s="10"/>
      <c r="G53" s="30">
        <f>D37+D39+D41+D47+D49+G45</f>
        <v>4001.333333333333</v>
      </c>
      <c r="H53" s="8"/>
      <c r="I53" s="10"/>
      <c r="J53" s="30"/>
    </row>
    <row r="54" spans="2:10" ht="8.25" customHeight="1">
      <c r="D54" s="36">
        <f>SUM(D36:D53)</f>
        <v>1313.3333333333333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25" bottom="2.9861111111111099E-2" header="0.511811023622047" footer="0.511811023622047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74"/>
  <sheetViews>
    <sheetView zoomScaleNormal="100" workbookViewId="0">
      <selection activeCell="L43" activeCellId="2" sqref="G45 G49 L43"/>
    </sheetView>
  </sheetViews>
  <sheetFormatPr defaultColWidth="9.140625" defaultRowHeight="11.25" customHeight="1"/>
  <cols>
    <col min="1" max="1" width="7.5703125" style="1" customWidth="1"/>
    <col min="2" max="2" width="10.42578125" style="1" customWidth="1"/>
    <col min="3" max="3" width="9.42578125" style="1" customWidth="1"/>
    <col min="4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247</v>
      </c>
      <c r="C5" s="4"/>
      <c r="D5" s="2" t="s">
        <v>221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357</v>
      </c>
      <c r="C7" s="13"/>
      <c r="D7" s="14" t="s">
        <v>358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C10" s="12"/>
      <c r="D10" s="12"/>
      <c r="E10" s="12"/>
      <c r="H10" s="12"/>
      <c r="I10" s="14" t="s">
        <v>174</v>
      </c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359</v>
      </c>
      <c r="C13" s="12"/>
      <c r="D13" s="13"/>
      <c r="E13" s="16" t="s">
        <v>360</v>
      </c>
      <c r="F13" s="14">
        <v>76862000</v>
      </c>
      <c r="G13" s="13"/>
      <c r="H13" s="18"/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/>
      <c r="C17" s="12"/>
      <c r="D17" s="14" t="s">
        <v>361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2"/>
      <c r="C20" s="12"/>
      <c r="D20" s="12"/>
      <c r="E20" s="12"/>
      <c r="H20" s="12"/>
      <c r="I20" s="14"/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 t="s">
        <v>359</v>
      </c>
      <c r="C23" s="12"/>
      <c r="D23" s="12"/>
      <c r="E23" s="16" t="s">
        <v>360</v>
      </c>
      <c r="F23" s="14"/>
      <c r="G23" s="13"/>
      <c r="H23" s="14"/>
      <c r="I23" s="12"/>
      <c r="J23" s="13"/>
    </row>
    <row r="24" spans="2:10">
      <c r="B24" s="3" t="s">
        <v>226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12"/>
      <c r="C26" s="12"/>
      <c r="D26" s="19"/>
      <c r="E26" s="13"/>
      <c r="F26" s="14"/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1100</v>
      </c>
      <c r="D30" s="13"/>
      <c r="E30" s="22">
        <v>44108</v>
      </c>
      <c r="F30" s="23"/>
      <c r="G30" s="19"/>
      <c r="H30" s="58"/>
      <c r="I30" s="19">
        <v>44246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0" s="11" customFormat="1">
      <c r="B33" s="12" t="s">
        <v>362</v>
      </c>
      <c r="C33" s="12"/>
      <c r="D33" s="12"/>
      <c r="E33" s="14"/>
      <c r="F33" s="13"/>
      <c r="G33" s="12"/>
      <c r="H33" s="13"/>
      <c r="I33" s="14"/>
      <c r="J33" s="13"/>
    </row>
    <row r="34" spans="2:10" ht="8.25" customHeight="1"/>
    <row r="35" spans="2:10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0">
      <c r="B36" s="1" t="s">
        <v>229</v>
      </c>
      <c r="C36" s="7"/>
      <c r="D36" s="28"/>
      <c r="E36" s="5" t="s">
        <v>270</v>
      </c>
      <c r="F36" s="7"/>
      <c r="G36" s="28"/>
      <c r="H36" s="2" t="s">
        <v>38</v>
      </c>
      <c r="I36" s="4"/>
      <c r="J36" s="29"/>
    </row>
    <row r="37" spans="2:10">
      <c r="B37" s="9" t="s">
        <v>333</v>
      </c>
      <c r="C37" s="10"/>
      <c r="D37" s="30">
        <v>0</v>
      </c>
      <c r="E37" s="8"/>
      <c r="F37" s="10"/>
      <c r="G37" s="30">
        <v>0</v>
      </c>
      <c r="H37" s="8"/>
      <c r="I37" s="10"/>
      <c r="J37" s="30">
        <v>0</v>
      </c>
    </row>
    <row r="38" spans="2:10">
      <c r="B38" s="3" t="s">
        <v>39</v>
      </c>
      <c r="C38" s="4"/>
      <c r="D38" s="29"/>
      <c r="E38" s="1" t="s">
        <v>233</v>
      </c>
      <c r="G38" s="29"/>
      <c r="H38" s="2" t="s">
        <v>41</v>
      </c>
      <c r="I38" s="4"/>
      <c r="J38" s="29">
        <v>0</v>
      </c>
    </row>
    <row r="39" spans="2:10">
      <c r="B39" s="12">
        <v>19</v>
      </c>
      <c r="C39" s="10" t="s">
        <v>109</v>
      </c>
      <c r="D39" s="30">
        <v>696.66</v>
      </c>
      <c r="G39" s="30">
        <v>0</v>
      </c>
      <c r="H39" s="8" t="s">
        <v>42</v>
      </c>
      <c r="I39" s="10"/>
      <c r="J39" s="30">
        <v>0</v>
      </c>
    </row>
    <row r="40" spans="2:10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</row>
    <row r="41" spans="2:10">
      <c r="B41" s="12">
        <v>5</v>
      </c>
      <c r="C41" s="10" t="s">
        <v>46</v>
      </c>
      <c r="D41" s="30">
        <v>458.33</v>
      </c>
      <c r="E41" s="8"/>
      <c r="F41" s="10" t="s">
        <v>47</v>
      </c>
      <c r="G41" s="30">
        <v>0</v>
      </c>
      <c r="H41" s="8"/>
      <c r="I41" s="10"/>
      <c r="J41" s="30">
        <v>0</v>
      </c>
    </row>
    <row r="42" spans="2:10">
      <c r="B42" s="3" t="s">
        <v>49</v>
      </c>
      <c r="C42" s="4"/>
      <c r="D42" s="29"/>
      <c r="E42" s="2" t="s">
        <v>234</v>
      </c>
      <c r="F42" s="4"/>
      <c r="G42" s="29"/>
      <c r="H42" s="2" t="s">
        <v>51</v>
      </c>
      <c r="I42" s="4"/>
      <c r="J42" s="29"/>
    </row>
    <row r="43" spans="2:10">
      <c r="B43" s="12"/>
      <c r="C43" s="10" t="s">
        <v>46</v>
      </c>
      <c r="D43" s="30">
        <v>0</v>
      </c>
      <c r="E43" s="8" t="s">
        <v>235</v>
      </c>
      <c r="F43" s="10"/>
      <c r="G43" s="30">
        <v>0</v>
      </c>
      <c r="H43" s="8"/>
      <c r="I43" s="10"/>
      <c r="J43" s="30">
        <v>0</v>
      </c>
    </row>
    <row r="44" spans="2:10">
      <c r="B44" s="3" t="s">
        <v>52</v>
      </c>
      <c r="C44" s="4"/>
      <c r="D44" s="29"/>
      <c r="E44" s="2" t="s">
        <v>53</v>
      </c>
      <c r="F44" s="51">
        <f>(D37+D41+D43)*8%</f>
        <v>36.666400000000003</v>
      </c>
      <c r="H44" s="2" t="s">
        <v>54</v>
      </c>
      <c r="I44" s="4"/>
      <c r="J44" s="29"/>
    </row>
    <row r="45" spans="2:10">
      <c r="B45" s="12"/>
      <c r="C45" s="10" t="s">
        <v>46</v>
      </c>
      <c r="D45" s="30">
        <f>(C30/12)*B45</f>
        <v>0</v>
      </c>
      <c r="E45" s="14"/>
      <c r="F45" s="10" t="s">
        <v>56</v>
      </c>
      <c r="G45" s="30">
        <v>425.61</v>
      </c>
      <c r="H45" s="8" t="s">
        <v>334</v>
      </c>
      <c r="I45" s="10"/>
      <c r="J45" s="30"/>
    </row>
    <row r="46" spans="2:10">
      <c r="B46" s="3" t="s">
        <v>237</v>
      </c>
      <c r="C46" s="4"/>
      <c r="D46" s="29"/>
      <c r="E46" s="2" t="s">
        <v>58</v>
      </c>
      <c r="F46" s="4"/>
      <c r="G46" s="29"/>
      <c r="H46" s="2" t="s">
        <v>59</v>
      </c>
      <c r="I46" s="4"/>
      <c r="J46" s="29"/>
    </row>
    <row r="47" spans="2:10">
      <c r="B47" s="12">
        <v>5</v>
      </c>
      <c r="C47" s="10" t="s">
        <v>238</v>
      </c>
      <c r="D47" s="30">
        <f>C30/12*5</f>
        <v>458.33333333333337</v>
      </c>
      <c r="E47" s="33">
        <v>0.4</v>
      </c>
      <c r="F47" s="10"/>
      <c r="G47" s="30">
        <v>0</v>
      </c>
      <c r="H47" s="8" t="s">
        <v>335</v>
      </c>
      <c r="I47" s="10"/>
      <c r="J47" s="30"/>
    </row>
    <row r="48" spans="2:10">
      <c r="B48" s="3" t="s">
        <v>240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241</v>
      </c>
      <c r="C49" s="10"/>
      <c r="D49" s="30">
        <f>D47/3</f>
        <v>152.7777777777778</v>
      </c>
      <c r="E49" s="8" t="s">
        <v>65</v>
      </c>
      <c r="F49" s="10"/>
      <c r="G49" s="30"/>
      <c r="H49" s="8"/>
      <c r="I49" s="10"/>
      <c r="J49" s="30">
        <v>0</v>
      </c>
    </row>
    <row r="50" spans="2:10">
      <c r="B50" s="3" t="s">
        <v>336</v>
      </c>
      <c r="C50" s="4"/>
      <c r="D50" s="29"/>
      <c r="E50" s="34" t="s">
        <v>337</v>
      </c>
      <c r="F50" s="56"/>
      <c r="G50" s="29"/>
      <c r="H50" s="2" t="s">
        <v>68</v>
      </c>
      <c r="I50" s="4"/>
      <c r="J50" s="29"/>
    </row>
    <row r="51" spans="2:10">
      <c r="B51" s="12"/>
      <c r="C51" s="10" t="s">
        <v>338</v>
      </c>
      <c r="D51" s="30">
        <v>0</v>
      </c>
      <c r="E51" s="14" t="s">
        <v>339</v>
      </c>
      <c r="F51" s="13"/>
      <c r="G51" s="30">
        <v>0</v>
      </c>
      <c r="H51" s="8" t="s">
        <v>69</v>
      </c>
      <c r="I51" s="10"/>
      <c r="J51" s="30"/>
    </row>
    <row r="52" spans="2:10">
      <c r="B52" s="3" t="s">
        <v>245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246</v>
      </c>
      <c r="C53" s="10"/>
      <c r="D53" s="30">
        <v>0</v>
      </c>
      <c r="E53" s="8"/>
      <c r="F53" s="10"/>
      <c r="G53" s="30">
        <f>D39+D41+D47+D49+G45</f>
        <v>2191.7111111111112</v>
      </c>
      <c r="H53" s="8"/>
      <c r="I53" s="10"/>
      <c r="J53" s="30"/>
    </row>
    <row r="54" spans="2:10" ht="8.25" customHeight="1">
      <c r="D54" s="36">
        <f>SUM(D36:D53)</f>
        <v>1766.1011111111111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25" bottom="2.9861111111111099E-2" header="0.511811023622047" footer="0.511811023622047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74"/>
  <sheetViews>
    <sheetView zoomScaleNormal="100" workbookViewId="0">
      <selection activeCell="M48" activeCellId="2" sqref="G45 G49 M48"/>
    </sheetView>
  </sheetViews>
  <sheetFormatPr defaultColWidth="9.140625" defaultRowHeight="11.25" customHeight="1"/>
  <cols>
    <col min="1" max="1" width="7.5703125" style="1" customWidth="1"/>
    <col min="2" max="2" width="10.42578125" style="1" customWidth="1"/>
    <col min="3" max="3" width="9.42578125" style="1" customWidth="1"/>
    <col min="4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247</v>
      </c>
      <c r="C5" s="4"/>
      <c r="D5" s="2" t="s">
        <v>221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363</v>
      </c>
      <c r="C7" s="13"/>
      <c r="D7" s="14" t="s">
        <v>364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B10" s="11" t="s">
        <v>365</v>
      </c>
      <c r="C10" s="12"/>
      <c r="D10" s="12"/>
      <c r="E10" s="12"/>
      <c r="H10" s="12"/>
      <c r="I10" s="14" t="s">
        <v>366</v>
      </c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367</v>
      </c>
      <c r="C13" s="12"/>
      <c r="D13" s="13"/>
      <c r="E13" s="16" t="s">
        <v>145</v>
      </c>
      <c r="F13" s="14" t="s">
        <v>368</v>
      </c>
      <c r="G13" s="13"/>
      <c r="H13" s="18"/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/>
      <c r="C17" s="12"/>
      <c r="D17" s="14" t="s">
        <v>369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2"/>
      <c r="C20" s="12"/>
      <c r="D20" s="12"/>
      <c r="E20" s="12"/>
      <c r="H20" s="12"/>
      <c r="I20" s="14"/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 t="s">
        <v>367</v>
      </c>
      <c r="C23" s="12"/>
      <c r="D23" s="12"/>
      <c r="E23" s="16" t="s">
        <v>145</v>
      </c>
      <c r="F23" s="14"/>
      <c r="G23" s="13"/>
      <c r="H23" s="14"/>
      <c r="I23" s="12"/>
      <c r="J23" s="13"/>
    </row>
    <row r="24" spans="2:10">
      <c r="B24" s="3" t="s">
        <v>226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12" t="s">
        <v>370</v>
      </c>
      <c r="C26" s="12"/>
      <c r="D26" s="19">
        <v>34861</v>
      </c>
      <c r="E26" s="13"/>
      <c r="F26" s="14"/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1118</v>
      </c>
      <c r="D30" s="13"/>
      <c r="E30" s="22">
        <v>44112</v>
      </c>
      <c r="F30" s="23"/>
      <c r="G30" s="19"/>
      <c r="H30" s="13"/>
      <c r="I30" s="19">
        <v>44202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0" s="11" customFormat="1">
      <c r="B33" s="12" t="s">
        <v>228</v>
      </c>
      <c r="C33" s="12"/>
      <c r="D33" s="12"/>
      <c r="E33" s="14"/>
      <c r="F33" s="13"/>
      <c r="G33" s="12"/>
      <c r="H33" s="13"/>
      <c r="I33" s="14"/>
      <c r="J33" s="13"/>
    </row>
    <row r="34" spans="2:10" ht="8.25" customHeight="1"/>
    <row r="35" spans="2:10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0">
      <c r="B36" s="1" t="s">
        <v>229</v>
      </c>
      <c r="C36" s="7"/>
      <c r="D36" s="28"/>
      <c r="E36" s="5" t="s">
        <v>270</v>
      </c>
      <c r="F36" s="7"/>
      <c r="G36" s="28"/>
      <c r="H36" s="2" t="s">
        <v>38</v>
      </c>
      <c r="I36" s="4"/>
      <c r="J36" s="29"/>
    </row>
    <row r="37" spans="2:10">
      <c r="B37" s="9" t="s">
        <v>333</v>
      </c>
      <c r="C37" s="10"/>
      <c r="D37" s="30">
        <v>0</v>
      </c>
      <c r="E37" s="8"/>
      <c r="F37" s="10"/>
      <c r="G37" s="30">
        <v>0</v>
      </c>
      <c r="H37" s="8"/>
      <c r="I37" s="10"/>
      <c r="J37" s="30">
        <v>0</v>
      </c>
    </row>
    <row r="38" spans="2:10">
      <c r="B38" s="3" t="s">
        <v>39</v>
      </c>
      <c r="C38" s="4"/>
      <c r="D38" s="29"/>
      <c r="E38" s="1" t="s">
        <v>233</v>
      </c>
      <c r="G38" s="29"/>
      <c r="H38" s="2" t="s">
        <v>41</v>
      </c>
      <c r="I38" s="4"/>
      <c r="J38" s="29">
        <v>0</v>
      </c>
    </row>
    <row r="39" spans="2:10">
      <c r="B39" s="12"/>
      <c r="C39" s="10" t="s">
        <v>109</v>
      </c>
      <c r="D39" s="30"/>
      <c r="G39" s="30">
        <v>0</v>
      </c>
      <c r="H39" s="8" t="s">
        <v>42</v>
      </c>
      <c r="I39" s="10"/>
      <c r="J39" s="30">
        <v>0</v>
      </c>
    </row>
    <row r="40" spans="2:10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</row>
    <row r="41" spans="2:10">
      <c r="B41" s="12">
        <v>3</v>
      </c>
      <c r="C41" s="10" t="s">
        <v>46</v>
      </c>
      <c r="D41" s="30">
        <f>C30/12*3</f>
        <v>279.5</v>
      </c>
      <c r="E41" s="8"/>
      <c r="F41" s="10" t="s">
        <v>47</v>
      </c>
      <c r="G41" s="30">
        <v>0</v>
      </c>
      <c r="H41" s="8"/>
      <c r="I41" s="10"/>
      <c r="J41" s="30">
        <v>0</v>
      </c>
    </row>
    <row r="42" spans="2:10">
      <c r="B42" s="3" t="s">
        <v>49</v>
      </c>
      <c r="C42" s="4"/>
      <c r="D42" s="29"/>
      <c r="E42" s="2" t="s">
        <v>234</v>
      </c>
      <c r="F42" s="4"/>
      <c r="G42" s="29"/>
      <c r="H42" s="2" t="s">
        <v>51</v>
      </c>
      <c r="I42" s="4"/>
      <c r="J42" s="29"/>
    </row>
    <row r="43" spans="2:10">
      <c r="B43" s="12"/>
      <c r="C43" s="10" t="s">
        <v>46</v>
      </c>
      <c r="D43" s="30">
        <v>0</v>
      </c>
      <c r="E43" s="8" t="s">
        <v>235</v>
      </c>
      <c r="F43" s="10"/>
      <c r="G43" s="30">
        <v>0</v>
      </c>
      <c r="H43" s="8"/>
      <c r="I43" s="10"/>
      <c r="J43" s="30">
        <v>0</v>
      </c>
    </row>
    <row r="44" spans="2:10">
      <c r="B44" s="3" t="s">
        <v>52</v>
      </c>
      <c r="C44" s="4"/>
      <c r="D44" s="29"/>
      <c r="E44" s="2" t="s">
        <v>53</v>
      </c>
      <c r="F44" s="51">
        <f>(D37+D41+D43)*8%</f>
        <v>22.36</v>
      </c>
      <c r="H44" s="2" t="s">
        <v>54</v>
      </c>
      <c r="I44" s="4"/>
      <c r="J44" s="29"/>
    </row>
    <row r="45" spans="2:10">
      <c r="B45" s="12"/>
      <c r="C45" s="10" t="s">
        <v>46</v>
      </c>
      <c r="D45" s="30">
        <f>(C30/12)*B45</f>
        <v>0</v>
      </c>
      <c r="E45" s="14">
        <v>3</v>
      </c>
      <c r="F45" s="10" t="s">
        <v>56</v>
      </c>
      <c r="G45" s="30">
        <v>290.67</v>
      </c>
      <c r="H45" s="8" t="s">
        <v>334</v>
      </c>
      <c r="I45" s="10"/>
      <c r="J45" s="30">
        <v>0</v>
      </c>
    </row>
    <row r="46" spans="2:10">
      <c r="B46" s="3" t="s">
        <v>237</v>
      </c>
      <c r="C46" s="4"/>
      <c r="D46" s="29"/>
      <c r="E46" s="2" t="s">
        <v>58</v>
      </c>
      <c r="F46" s="4"/>
      <c r="G46" s="29"/>
      <c r="H46" s="2" t="s">
        <v>59</v>
      </c>
      <c r="I46" s="4"/>
      <c r="J46" s="29"/>
    </row>
    <row r="47" spans="2:10">
      <c r="B47" s="12">
        <v>3</v>
      </c>
      <c r="C47" s="10" t="s">
        <v>238</v>
      </c>
      <c r="D47" s="30">
        <f>C30/12*3</f>
        <v>279.5</v>
      </c>
      <c r="E47" s="33">
        <v>0.4</v>
      </c>
      <c r="F47" s="10"/>
      <c r="G47" s="30">
        <v>0</v>
      </c>
      <c r="H47" s="8" t="s">
        <v>335</v>
      </c>
      <c r="I47" s="10"/>
      <c r="J47" s="30"/>
    </row>
    <row r="48" spans="2:10">
      <c r="B48" s="3" t="s">
        <v>240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241</v>
      </c>
      <c r="C49" s="10"/>
      <c r="D49" s="30">
        <f>D47/3</f>
        <v>93.166666666666671</v>
      </c>
      <c r="E49" s="8" t="s">
        <v>65</v>
      </c>
      <c r="F49" s="10"/>
      <c r="G49" s="30"/>
      <c r="H49" s="8"/>
      <c r="I49" s="10"/>
      <c r="J49" s="30">
        <v>0</v>
      </c>
    </row>
    <row r="50" spans="2:10">
      <c r="B50" s="3" t="s">
        <v>336</v>
      </c>
      <c r="C50" s="4"/>
      <c r="D50" s="29"/>
      <c r="E50" s="34" t="s">
        <v>337</v>
      </c>
      <c r="F50" s="56"/>
      <c r="G50" s="29"/>
      <c r="H50" s="2" t="s">
        <v>68</v>
      </c>
      <c r="I50" s="4"/>
      <c r="J50" s="29"/>
    </row>
    <row r="51" spans="2:10">
      <c r="B51" s="12"/>
      <c r="C51" s="10" t="s">
        <v>338</v>
      </c>
      <c r="D51" s="30">
        <v>0</v>
      </c>
      <c r="E51" s="14" t="s">
        <v>339</v>
      </c>
      <c r="F51" s="13"/>
      <c r="G51" s="30">
        <v>0</v>
      </c>
      <c r="H51" s="8" t="s">
        <v>69</v>
      </c>
      <c r="I51" s="10"/>
      <c r="J51" s="30">
        <f>SUM(J36:J49)</f>
        <v>0</v>
      </c>
    </row>
    <row r="52" spans="2:10">
      <c r="B52" s="3" t="s">
        <v>245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246</v>
      </c>
      <c r="C53" s="10"/>
      <c r="D53" s="30">
        <v>0</v>
      </c>
      <c r="E53" s="8"/>
      <c r="F53" s="10"/>
      <c r="G53" s="30">
        <f>D41+D47+D49+G45</f>
        <v>942.83666666666659</v>
      </c>
      <c r="H53" s="8"/>
      <c r="I53" s="10"/>
      <c r="J53" s="30">
        <f>(G53-J51)</f>
        <v>942.83666666666659</v>
      </c>
    </row>
    <row r="54" spans="2:10" ht="8.25" customHeight="1">
      <c r="D54" s="36">
        <f>SUM(D36:D53)</f>
        <v>652.16666666666663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25" bottom="2.9861111111111099E-2" header="0.511811023622047" footer="0.511811023622047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74"/>
  <sheetViews>
    <sheetView zoomScaleNormal="100" workbookViewId="0">
      <selection activeCell="D33" activeCellId="2" sqref="G45 G49 D33"/>
    </sheetView>
  </sheetViews>
  <sheetFormatPr defaultColWidth="9.140625" defaultRowHeight="11.25" customHeight="1"/>
  <cols>
    <col min="1" max="1" width="7.5703125" style="1" customWidth="1"/>
    <col min="2" max="2" width="10.42578125" style="1" customWidth="1"/>
    <col min="3" max="3" width="9.42578125" style="1" customWidth="1"/>
    <col min="4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247</v>
      </c>
      <c r="C5" s="4"/>
      <c r="D5" s="2" t="s">
        <v>221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371</v>
      </c>
      <c r="C7" s="13"/>
      <c r="D7" s="14" t="s">
        <v>372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C10" s="12"/>
      <c r="D10" s="12"/>
      <c r="E10" s="12"/>
      <c r="H10" s="12"/>
      <c r="I10" s="14" t="s">
        <v>174</v>
      </c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373</v>
      </c>
      <c r="C13" s="12"/>
      <c r="D13" s="13"/>
      <c r="E13" s="16" t="s">
        <v>161</v>
      </c>
      <c r="F13" s="14"/>
      <c r="G13" s="13"/>
      <c r="H13" s="18"/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/>
      <c r="C17" s="12"/>
      <c r="D17" s="14" t="s">
        <v>374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2"/>
      <c r="C20" s="12"/>
      <c r="D20" s="12"/>
      <c r="E20" s="12"/>
      <c r="H20" s="12"/>
      <c r="I20" s="14"/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 t="s">
        <v>373</v>
      </c>
      <c r="C23" s="12"/>
      <c r="D23" s="12"/>
      <c r="E23" s="16" t="s">
        <v>161</v>
      </c>
      <c r="F23" s="14"/>
      <c r="G23" s="13"/>
      <c r="H23" s="14"/>
      <c r="I23" s="12"/>
      <c r="J23" s="13"/>
    </row>
    <row r="24" spans="2:10">
      <c r="B24" s="3" t="s">
        <v>226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12"/>
      <c r="C26" s="12"/>
      <c r="D26" s="19"/>
      <c r="E26" s="13"/>
      <c r="F26" s="14"/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1045</v>
      </c>
      <c r="D30" s="13"/>
      <c r="E30" s="22">
        <v>43916</v>
      </c>
      <c r="F30" s="23"/>
      <c r="G30" s="19"/>
      <c r="H30" s="13"/>
      <c r="I30" s="19">
        <v>44034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0" s="11" customFormat="1">
      <c r="B33" s="12" t="s">
        <v>228</v>
      </c>
      <c r="C33" s="12"/>
      <c r="D33" s="12"/>
      <c r="E33" s="14"/>
      <c r="F33" s="13"/>
      <c r="G33" s="12"/>
      <c r="H33" s="13"/>
      <c r="I33" s="14"/>
      <c r="J33" s="13"/>
    </row>
    <row r="34" spans="2:10" ht="8.25" customHeight="1"/>
    <row r="35" spans="2:10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0">
      <c r="B36" s="1" t="s">
        <v>229</v>
      </c>
      <c r="C36" s="7"/>
      <c r="D36" s="28"/>
      <c r="E36" s="5" t="s">
        <v>270</v>
      </c>
      <c r="F36" s="7"/>
      <c r="G36" s="28"/>
      <c r="H36" s="2" t="s">
        <v>38</v>
      </c>
      <c r="I36" s="4"/>
      <c r="J36" s="29"/>
    </row>
    <row r="37" spans="2:10">
      <c r="B37" s="9" t="s">
        <v>333</v>
      </c>
      <c r="C37" s="10"/>
      <c r="D37" s="30">
        <v>0</v>
      </c>
      <c r="E37" s="8"/>
      <c r="F37" s="10"/>
      <c r="G37" s="30">
        <v>0</v>
      </c>
      <c r="H37" s="8"/>
      <c r="I37" s="10"/>
      <c r="J37" s="30">
        <v>0</v>
      </c>
    </row>
    <row r="38" spans="2:10">
      <c r="B38" s="3" t="s">
        <v>39</v>
      </c>
      <c r="C38" s="4"/>
      <c r="D38" s="29"/>
      <c r="E38" s="1" t="s">
        <v>233</v>
      </c>
      <c r="G38" s="29"/>
      <c r="H38" s="2" t="s">
        <v>41</v>
      </c>
      <c r="I38" s="4"/>
      <c r="J38" s="29">
        <v>0</v>
      </c>
    </row>
    <row r="39" spans="2:10">
      <c r="B39" s="12"/>
      <c r="C39" s="10" t="s">
        <v>109</v>
      </c>
      <c r="D39" s="30"/>
      <c r="G39" s="30">
        <v>0</v>
      </c>
      <c r="H39" s="8" t="s">
        <v>42</v>
      </c>
      <c r="I39" s="10"/>
      <c r="J39" s="30">
        <v>0</v>
      </c>
    </row>
    <row r="40" spans="2:10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</row>
    <row r="41" spans="2:10">
      <c r="B41" s="12">
        <v>4</v>
      </c>
      <c r="C41" s="10" t="s">
        <v>46</v>
      </c>
      <c r="D41" s="30">
        <f>C30/12*4</f>
        <v>348.33333333333331</v>
      </c>
      <c r="E41" s="8"/>
      <c r="F41" s="10" t="s">
        <v>47</v>
      </c>
      <c r="G41" s="30">
        <v>0</v>
      </c>
      <c r="H41" s="8"/>
      <c r="I41" s="10"/>
      <c r="J41" s="30">
        <v>0</v>
      </c>
    </row>
    <row r="42" spans="2:10">
      <c r="B42" s="3" t="s">
        <v>49</v>
      </c>
      <c r="C42" s="4"/>
      <c r="D42" s="29"/>
      <c r="E42" s="2" t="s">
        <v>234</v>
      </c>
      <c r="F42" s="4"/>
      <c r="G42" s="29"/>
      <c r="H42" s="2" t="s">
        <v>51</v>
      </c>
      <c r="I42" s="4"/>
      <c r="J42" s="29"/>
    </row>
    <row r="43" spans="2:10">
      <c r="B43" s="12"/>
      <c r="C43" s="10" t="s">
        <v>46</v>
      </c>
      <c r="D43" s="30">
        <v>0</v>
      </c>
      <c r="E43" s="8" t="s">
        <v>235</v>
      </c>
      <c r="F43" s="10"/>
      <c r="G43" s="30">
        <v>0</v>
      </c>
      <c r="H43" s="8"/>
      <c r="I43" s="10"/>
      <c r="J43" s="30">
        <v>0</v>
      </c>
    </row>
    <row r="44" spans="2:10">
      <c r="B44" s="3" t="s">
        <v>52</v>
      </c>
      <c r="C44" s="4"/>
      <c r="D44" s="29"/>
      <c r="E44" s="2" t="s">
        <v>53</v>
      </c>
      <c r="F44" s="51">
        <f>(D37+D41+D43)*8%</f>
        <v>27.866666666666667</v>
      </c>
      <c r="H44" s="2" t="s">
        <v>54</v>
      </c>
      <c r="I44" s="4"/>
      <c r="J44" s="29"/>
    </row>
    <row r="45" spans="2:10">
      <c r="B45" s="12"/>
      <c r="C45" s="10" t="s">
        <v>46</v>
      </c>
      <c r="D45" s="30">
        <f>(C30/12)*B45</f>
        <v>0</v>
      </c>
      <c r="E45" s="14"/>
      <c r="F45" s="10" t="s">
        <v>56</v>
      </c>
      <c r="G45" s="30"/>
      <c r="H45" s="8" t="s">
        <v>334</v>
      </c>
      <c r="I45" s="10"/>
      <c r="J45" s="30">
        <v>0</v>
      </c>
    </row>
    <row r="46" spans="2:10">
      <c r="B46" s="3" t="s">
        <v>237</v>
      </c>
      <c r="C46" s="4"/>
      <c r="D46" s="29"/>
      <c r="E46" s="2" t="s">
        <v>58</v>
      </c>
      <c r="F46" s="4"/>
      <c r="G46" s="29"/>
      <c r="H46" s="2" t="s">
        <v>59</v>
      </c>
      <c r="I46" s="4"/>
      <c r="J46" s="29"/>
    </row>
    <row r="47" spans="2:10">
      <c r="B47" s="12">
        <v>4</v>
      </c>
      <c r="C47" s="10" t="s">
        <v>238</v>
      </c>
      <c r="D47" s="30">
        <f>C30/12*4</f>
        <v>348.33333333333331</v>
      </c>
      <c r="E47" s="33">
        <v>0.4</v>
      </c>
      <c r="F47" s="10"/>
      <c r="G47" s="30">
        <v>0</v>
      </c>
      <c r="H47" s="8" t="s">
        <v>335</v>
      </c>
      <c r="I47" s="10"/>
      <c r="J47" s="30"/>
    </row>
    <row r="48" spans="2:10">
      <c r="B48" s="3" t="s">
        <v>240</v>
      </c>
      <c r="C48" s="4"/>
      <c r="D48" s="29"/>
      <c r="E48" s="2" t="s">
        <v>62</v>
      </c>
      <c r="F48" s="4"/>
      <c r="G48" s="29"/>
      <c r="H48" s="2" t="s">
        <v>63</v>
      </c>
      <c r="I48" s="4"/>
      <c r="J48" s="29"/>
    </row>
    <row r="49" spans="2:10">
      <c r="B49" s="9" t="s">
        <v>241</v>
      </c>
      <c r="C49" s="10"/>
      <c r="D49" s="30">
        <f>D47/3</f>
        <v>116.1111111111111</v>
      </c>
      <c r="E49" s="8" t="s">
        <v>65</v>
      </c>
      <c r="F49" s="10"/>
      <c r="G49" s="30">
        <v>356.68</v>
      </c>
      <c r="H49" s="8"/>
      <c r="I49" s="10"/>
      <c r="J49" s="30">
        <v>0</v>
      </c>
    </row>
    <row r="50" spans="2:10">
      <c r="B50" s="3" t="s">
        <v>336</v>
      </c>
      <c r="C50" s="4"/>
      <c r="D50" s="29"/>
      <c r="E50" s="34" t="s">
        <v>337</v>
      </c>
      <c r="F50" s="56"/>
      <c r="G50" s="29"/>
      <c r="H50" s="2" t="s">
        <v>68</v>
      </c>
      <c r="I50" s="4"/>
      <c r="J50" s="29"/>
    </row>
    <row r="51" spans="2:10">
      <c r="B51" s="12"/>
      <c r="C51" s="10" t="s">
        <v>338</v>
      </c>
      <c r="D51" s="30">
        <v>0</v>
      </c>
      <c r="E51" s="14" t="s">
        <v>339</v>
      </c>
      <c r="F51" s="13"/>
      <c r="G51" s="30">
        <v>0</v>
      </c>
      <c r="H51" s="8" t="s">
        <v>69</v>
      </c>
      <c r="I51" s="10"/>
      <c r="J51" s="30">
        <f>SUM(J36:J49)</f>
        <v>0</v>
      </c>
    </row>
    <row r="52" spans="2:10">
      <c r="B52" s="3" t="s">
        <v>245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246</v>
      </c>
      <c r="C53" s="10"/>
      <c r="D53" s="30">
        <v>0</v>
      </c>
      <c r="E53" s="8"/>
      <c r="F53" s="10"/>
      <c r="G53" s="30">
        <f>D41+D47+D49+G49</f>
        <v>1169.4577777777777</v>
      </c>
      <c r="H53" s="8"/>
      <c r="I53" s="10"/>
      <c r="J53" s="30">
        <f>(G53-J51)</f>
        <v>1169.4577777777777</v>
      </c>
    </row>
    <row r="54" spans="2:10" ht="8.25" customHeight="1">
      <c r="D54" s="36">
        <f>SUM(D36:D53)</f>
        <v>812.77777777777771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0.25" bottom="2.9861111111111099E-2" header="0.511811023622047" footer="0.511811023622047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74"/>
  <sheetViews>
    <sheetView zoomScale="130" zoomScaleNormal="130" workbookViewId="0">
      <selection activeCell="F13" activeCellId="2" sqref="G45 G49 F13"/>
    </sheetView>
  </sheetViews>
  <sheetFormatPr defaultColWidth="9.140625" defaultRowHeight="11.25" customHeight="1"/>
  <cols>
    <col min="1" max="1" width="6.7109375" style="1" customWidth="1"/>
    <col min="2" max="3" width="9.5703125" style="1" customWidth="1"/>
    <col min="4" max="4" width="8.85546875" style="1" customWidth="1"/>
    <col min="5" max="5" width="12.7109375" style="1" customWidth="1"/>
    <col min="6" max="6" width="5" style="1" customWidth="1"/>
    <col min="7" max="7" width="8" style="1" customWidth="1"/>
    <col min="8" max="8" width="9.5703125" style="1" customWidth="1"/>
    <col min="9" max="9" width="9.85546875" style="1" customWidth="1"/>
    <col min="10" max="10" width="8.85546875" style="1" customWidth="1"/>
    <col min="11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1</v>
      </c>
      <c r="C5" s="4"/>
      <c r="D5" s="2" t="s">
        <v>221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375</v>
      </c>
      <c r="C7" s="13"/>
      <c r="D7" s="52" t="s">
        <v>376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B10" s="11" t="s">
        <v>377</v>
      </c>
      <c r="C10" s="12"/>
      <c r="D10" s="12"/>
      <c r="E10" s="12"/>
      <c r="H10" s="12"/>
      <c r="I10" s="14" t="s">
        <v>378</v>
      </c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160</v>
      </c>
      <c r="C13" s="12"/>
      <c r="D13" s="13"/>
      <c r="E13" s="16" t="s">
        <v>161</v>
      </c>
      <c r="F13" s="13" t="s">
        <v>379</v>
      </c>
      <c r="G13" s="13"/>
      <c r="H13" s="18"/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/>
      <c r="C17" s="12"/>
      <c r="D17" s="14" t="s">
        <v>380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2"/>
      <c r="C20" s="12"/>
      <c r="D20" s="12"/>
      <c r="E20" s="12"/>
      <c r="H20" s="12"/>
      <c r="I20" s="14"/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 t="s">
        <v>160</v>
      </c>
      <c r="C23" s="12"/>
      <c r="D23" s="12"/>
      <c r="E23" s="16" t="s">
        <v>161</v>
      </c>
      <c r="F23" s="14"/>
      <c r="G23" s="13" t="s">
        <v>379</v>
      </c>
      <c r="H23" s="14"/>
      <c r="I23" s="12"/>
      <c r="J23" s="13"/>
    </row>
    <row r="24" spans="2:10">
      <c r="B24" s="3" t="s">
        <v>268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12" t="s">
        <v>381</v>
      </c>
      <c r="C26" s="12"/>
      <c r="D26" s="19"/>
      <c r="E26" s="13"/>
      <c r="F26" s="14"/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1333.19</v>
      </c>
      <c r="D30" s="13"/>
      <c r="E30" s="22">
        <v>44049</v>
      </c>
      <c r="F30" s="23"/>
      <c r="G30" s="19"/>
      <c r="H30" s="13"/>
      <c r="I30" s="19">
        <v>44074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0" s="11" customFormat="1">
      <c r="B33" s="12" t="s">
        <v>228</v>
      </c>
      <c r="C33" s="12"/>
      <c r="D33" s="12"/>
      <c r="E33" s="14"/>
      <c r="F33" s="13"/>
      <c r="G33" s="12"/>
      <c r="H33" s="13"/>
      <c r="I33" s="14" t="s">
        <v>33</v>
      </c>
      <c r="J33" s="13"/>
    </row>
    <row r="34" spans="2:10" ht="8.25" customHeight="1"/>
    <row r="35" spans="2:10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0">
      <c r="B36" s="1" t="s">
        <v>229</v>
      </c>
      <c r="C36" s="7"/>
      <c r="D36" s="28"/>
      <c r="E36" s="5" t="s">
        <v>270</v>
      </c>
      <c r="F36" s="7"/>
      <c r="G36" s="28"/>
      <c r="H36" s="2" t="s">
        <v>38</v>
      </c>
      <c r="I36" s="4"/>
      <c r="J36" s="29"/>
    </row>
    <row r="37" spans="2:10">
      <c r="B37" s="9"/>
      <c r="C37" s="10" t="s">
        <v>109</v>
      </c>
      <c r="D37" s="30"/>
      <c r="E37" s="8"/>
      <c r="F37" s="10"/>
      <c r="G37" s="30">
        <v>0</v>
      </c>
      <c r="H37" s="8"/>
      <c r="I37" s="10"/>
      <c r="J37" s="30">
        <v>0</v>
      </c>
    </row>
    <row r="38" spans="2:10">
      <c r="B38" s="3" t="s">
        <v>39</v>
      </c>
      <c r="C38" s="4"/>
      <c r="D38" s="29"/>
      <c r="E38" s="1" t="s">
        <v>233</v>
      </c>
      <c r="G38" s="29"/>
      <c r="H38" s="2" t="s">
        <v>41</v>
      </c>
      <c r="I38" s="4"/>
      <c r="J38" s="29"/>
    </row>
    <row r="39" spans="2:10">
      <c r="B39" s="12"/>
      <c r="C39" s="10" t="s">
        <v>109</v>
      </c>
      <c r="D39" s="30"/>
      <c r="G39" s="30"/>
      <c r="H39" s="8" t="s">
        <v>42</v>
      </c>
      <c r="I39" s="10"/>
      <c r="J39" s="30">
        <v>0</v>
      </c>
    </row>
    <row r="40" spans="2:10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</row>
    <row r="41" spans="2:10">
      <c r="B41" s="12">
        <v>1</v>
      </c>
      <c r="C41" s="10" t="s">
        <v>46</v>
      </c>
      <c r="D41" s="30">
        <f>C30/12</f>
        <v>111.09916666666668</v>
      </c>
      <c r="E41" s="33">
        <v>1</v>
      </c>
      <c r="F41" s="10" t="s">
        <v>47</v>
      </c>
      <c r="G41" s="30"/>
      <c r="H41" s="8"/>
      <c r="I41" s="10"/>
      <c r="J41" s="30">
        <v>0</v>
      </c>
    </row>
    <row r="42" spans="2:10">
      <c r="B42" s="3" t="s">
        <v>49</v>
      </c>
      <c r="C42" s="4"/>
      <c r="D42" s="29"/>
      <c r="E42" s="2" t="s">
        <v>234</v>
      </c>
      <c r="F42" s="4"/>
      <c r="G42" s="29"/>
      <c r="H42" s="2" t="s">
        <v>51</v>
      </c>
      <c r="I42" s="4"/>
      <c r="J42" s="29"/>
    </row>
    <row r="43" spans="2:10">
      <c r="B43" s="12"/>
      <c r="C43" s="10" t="s">
        <v>46</v>
      </c>
      <c r="D43" s="30"/>
      <c r="E43" s="8" t="s">
        <v>235</v>
      </c>
      <c r="F43" s="10"/>
      <c r="G43" s="30">
        <v>0</v>
      </c>
      <c r="H43" s="8"/>
      <c r="I43" s="10"/>
      <c r="J43" s="30">
        <v>0</v>
      </c>
    </row>
    <row r="44" spans="2:10">
      <c r="B44" s="3" t="s">
        <v>52</v>
      </c>
      <c r="C44" s="4"/>
      <c r="D44" s="29"/>
      <c r="E44" s="2" t="s">
        <v>272</v>
      </c>
      <c r="F44" s="51">
        <f>(D37+D41+D43)*8%</f>
        <v>8.8879333333333346</v>
      </c>
      <c r="H44" s="2" t="s">
        <v>54</v>
      </c>
      <c r="I44" s="4"/>
      <c r="J44" s="29"/>
    </row>
    <row r="45" spans="2:10">
      <c r="B45" s="12"/>
      <c r="C45" s="10" t="s">
        <v>46</v>
      </c>
      <c r="D45" s="30">
        <f>(C30/12)*B45</f>
        <v>0</v>
      </c>
      <c r="E45" s="14"/>
      <c r="F45" s="10"/>
      <c r="G45" s="30"/>
      <c r="H45" s="8" t="s">
        <v>273</v>
      </c>
      <c r="I45" s="10"/>
      <c r="J45" s="30">
        <v>0</v>
      </c>
    </row>
    <row r="46" spans="2:10">
      <c r="B46" s="3" t="s">
        <v>237</v>
      </c>
      <c r="C46" s="4"/>
      <c r="D46" s="29"/>
      <c r="E46" s="2" t="s">
        <v>274</v>
      </c>
      <c r="F46" s="4"/>
      <c r="G46" s="29"/>
      <c r="H46" s="2" t="s">
        <v>59</v>
      </c>
      <c r="I46" s="4"/>
      <c r="J46" s="29"/>
    </row>
    <row r="47" spans="2:10">
      <c r="B47" s="12">
        <v>1</v>
      </c>
      <c r="C47" s="10" t="s">
        <v>238</v>
      </c>
      <c r="D47" s="30">
        <f>C30/12</f>
        <v>111.09916666666668</v>
      </c>
      <c r="E47" s="33">
        <v>0.5</v>
      </c>
      <c r="F47" s="10" t="s">
        <v>275</v>
      </c>
      <c r="G47" s="30"/>
      <c r="H47" s="8" t="s">
        <v>276</v>
      </c>
      <c r="I47" s="10"/>
      <c r="J47" s="30">
        <v>0</v>
      </c>
    </row>
    <row r="48" spans="2:10">
      <c r="B48" s="3" t="s">
        <v>240</v>
      </c>
      <c r="C48" s="4"/>
      <c r="D48" s="29"/>
      <c r="E48" s="2" t="s">
        <v>277</v>
      </c>
      <c r="F48" s="4"/>
      <c r="G48" s="29"/>
      <c r="H48" s="2" t="s">
        <v>63</v>
      </c>
      <c r="I48" s="4"/>
      <c r="J48" s="29"/>
    </row>
    <row r="49" spans="2:10">
      <c r="B49" s="9" t="s">
        <v>241</v>
      </c>
      <c r="C49" s="10"/>
      <c r="D49" s="30">
        <f>D47/3</f>
        <v>37.033055555555556</v>
      </c>
      <c r="E49" s="8"/>
      <c r="F49" s="10"/>
      <c r="G49" s="30">
        <v>101.31</v>
      </c>
      <c r="H49" s="8"/>
      <c r="I49" s="10"/>
      <c r="J49" s="30">
        <v>0</v>
      </c>
    </row>
    <row r="50" spans="2:10">
      <c r="B50" s="3" t="s">
        <v>278</v>
      </c>
      <c r="C50" s="4"/>
      <c r="D50" s="29"/>
      <c r="E50" s="2" t="s">
        <v>243</v>
      </c>
      <c r="F50" s="4"/>
      <c r="G50" s="29"/>
      <c r="H50" s="2" t="s">
        <v>68</v>
      </c>
      <c r="I50" s="4"/>
      <c r="J50" s="29"/>
    </row>
    <row r="51" spans="2:10">
      <c r="B51" s="12"/>
      <c r="C51" s="10" t="s">
        <v>46</v>
      </c>
      <c r="D51" s="30"/>
      <c r="E51" s="8" t="s">
        <v>244</v>
      </c>
      <c r="F51" s="10"/>
      <c r="G51" s="30">
        <v>0</v>
      </c>
      <c r="H51" s="8" t="s">
        <v>69</v>
      </c>
      <c r="I51" s="10"/>
      <c r="J51" s="30">
        <f>SUM(J36:J49)</f>
        <v>0</v>
      </c>
    </row>
    <row r="52" spans="2:10">
      <c r="B52" s="3" t="s">
        <v>245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246</v>
      </c>
      <c r="C53" s="10"/>
      <c r="D53" s="30">
        <v>0</v>
      </c>
      <c r="E53" s="8"/>
      <c r="F53" s="10"/>
      <c r="G53" s="30">
        <f>D41+D47+D49+G49</f>
        <v>360.54138888888889</v>
      </c>
      <c r="H53" s="8"/>
      <c r="I53" s="10"/>
      <c r="J53" s="30">
        <f>(G53-J51)</f>
        <v>360.54138888888889</v>
      </c>
    </row>
    <row r="54" spans="2:10" ht="8.25" customHeight="1">
      <c r="D54" s="36">
        <f>SUM(D36:D53)</f>
        <v>259.23138888888889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1.425" bottom="2.9861111111111099E-2" header="0.511811023622047" footer="0.511811023622047"/>
  <pageSetup paperSize="9" scale="9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74"/>
  <sheetViews>
    <sheetView zoomScale="130" zoomScaleNormal="130" workbookViewId="0">
      <selection activeCell="D7" activeCellId="2" sqref="G45 G49 D7"/>
    </sheetView>
  </sheetViews>
  <sheetFormatPr defaultColWidth="9.140625" defaultRowHeight="11.25" customHeight="1"/>
  <cols>
    <col min="1" max="1" width="6.7109375" style="1" customWidth="1"/>
    <col min="2" max="3" width="9.5703125" style="1" customWidth="1"/>
    <col min="4" max="4" width="8.85546875" style="1" customWidth="1"/>
    <col min="5" max="5" width="12.7109375" style="1" customWidth="1"/>
    <col min="6" max="6" width="5" style="1" customWidth="1"/>
    <col min="7" max="7" width="8" style="1" customWidth="1"/>
    <col min="8" max="8" width="9.5703125" style="1" customWidth="1"/>
    <col min="9" max="9" width="9.85546875" style="1" customWidth="1"/>
    <col min="10" max="10" width="8.85546875" style="1" customWidth="1"/>
    <col min="11" max="16384" width="9.140625" style="1"/>
  </cols>
  <sheetData>
    <row r="1" spans="1:10" ht="5.25" customHeight="1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3.9">
      <c r="A2" s="5"/>
      <c r="F2" s="6" t="s">
        <v>0</v>
      </c>
      <c r="J2" s="7"/>
    </row>
    <row r="3" spans="1:10" ht="5.25" customHeigh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7.5" customHeight="1"/>
    <row r="5" spans="1:10">
      <c r="B5" s="3" t="s">
        <v>382</v>
      </c>
      <c r="C5" s="4"/>
      <c r="D5" s="2" t="s">
        <v>221</v>
      </c>
      <c r="E5" s="3"/>
      <c r="F5" s="3"/>
      <c r="G5" s="3"/>
      <c r="H5" s="3"/>
      <c r="I5" s="3"/>
      <c r="J5" s="4"/>
    </row>
    <row r="6" spans="1:10" ht="4.5" customHeight="1">
      <c r="C6" s="7"/>
      <c r="D6" s="5"/>
      <c r="J6" s="7"/>
    </row>
    <row r="7" spans="1:10" s="11" customFormat="1">
      <c r="B7" s="12" t="s">
        <v>383</v>
      </c>
      <c r="C7" s="13"/>
      <c r="D7" s="52" t="s">
        <v>384</v>
      </c>
      <c r="E7" s="12"/>
      <c r="F7" s="12"/>
      <c r="G7" s="12"/>
      <c r="I7" s="12"/>
      <c r="J7" s="13"/>
    </row>
    <row r="8" spans="1:10">
      <c r="A8" s="15"/>
      <c r="B8" s="3" t="s">
        <v>5</v>
      </c>
      <c r="C8" s="3"/>
      <c r="D8" s="3"/>
      <c r="E8" s="3"/>
      <c r="F8" s="3"/>
      <c r="G8" s="3"/>
      <c r="H8" s="3"/>
      <c r="I8" s="2" t="s">
        <v>6</v>
      </c>
      <c r="J8" s="4"/>
    </row>
    <row r="9" spans="1:10" ht="4.5" customHeight="1">
      <c r="I9" s="5"/>
      <c r="J9" s="7"/>
    </row>
    <row r="10" spans="1:10" s="11" customFormat="1">
      <c r="C10" s="12"/>
      <c r="D10" s="12"/>
      <c r="E10" s="12"/>
      <c r="H10" s="12"/>
      <c r="I10" s="14"/>
      <c r="J10" s="13"/>
    </row>
    <row r="11" spans="1:10">
      <c r="B11" s="3" t="s">
        <v>7</v>
      </c>
      <c r="C11" s="3"/>
      <c r="D11" s="4"/>
      <c r="E11" s="2" t="s">
        <v>8</v>
      </c>
      <c r="F11" s="2" t="s">
        <v>9</v>
      </c>
      <c r="G11" s="4"/>
      <c r="H11" s="7" t="s">
        <v>10</v>
      </c>
      <c r="I11" s="5" t="s">
        <v>11</v>
      </c>
      <c r="J11" s="4"/>
    </row>
    <row r="12" spans="1:10" ht="4.5" customHeight="1">
      <c r="D12" s="7"/>
      <c r="E12" s="5"/>
      <c r="F12" s="5"/>
      <c r="G12" s="7"/>
      <c r="H12" s="7"/>
      <c r="I12" s="5"/>
      <c r="J12" s="7"/>
    </row>
    <row r="13" spans="1:10" s="11" customFormat="1">
      <c r="B13" s="12" t="s">
        <v>160</v>
      </c>
      <c r="C13" s="12"/>
      <c r="D13" s="13"/>
      <c r="E13" s="16" t="s">
        <v>161</v>
      </c>
      <c r="F13" s="13" t="s">
        <v>379</v>
      </c>
      <c r="G13" s="13"/>
      <c r="H13" s="18"/>
      <c r="I13" s="14"/>
      <c r="J13" s="13"/>
    </row>
    <row r="14" spans="1:10" ht="7.5" customHeight="1"/>
    <row r="15" spans="1:10">
      <c r="B15" s="3" t="s">
        <v>12</v>
      </c>
      <c r="C15" s="3"/>
      <c r="D15" s="2" t="s">
        <v>13</v>
      </c>
      <c r="E15" s="3"/>
      <c r="F15" s="3"/>
      <c r="G15" s="3"/>
      <c r="H15" s="3"/>
      <c r="I15" s="3"/>
      <c r="J15" s="4"/>
    </row>
    <row r="16" spans="1:10" ht="4.5" customHeight="1">
      <c r="D16" s="5"/>
      <c r="J16" s="7"/>
    </row>
    <row r="17" spans="2:10" s="11" customFormat="1">
      <c r="B17" s="12"/>
      <c r="C17" s="12"/>
      <c r="D17" s="14" t="s">
        <v>385</v>
      </c>
      <c r="E17" s="12"/>
      <c r="F17" s="12"/>
      <c r="G17" s="12"/>
      <c r="I17" s="12"/>
      <c r="J17" s="13"/>
    </row>
    <row r="18" spans="2:10">
      <c r="B18" s="3" t="s">
        <v>15</v>
      </c>
      <c r="C18" s="3"/>
      <c r="H18" s="3"/>
      <c r="I18" s="2" t="s">
        <v>16</v>
      </c>
      <c r="J18" s="4"/>
    </row>
    <row r="19" spans="2:10" ht="3.75" customHeight="1">
      <c r="I19" s="5"/>
      <c r="J19" s="7"/>
    </row>
    <row r="20" spans="2:10" s="11" customFormat="1">
      <c r="B20" s="12"/>
      <c r="C20" s="12"/>
      <c r="D20" s="12"/>
      <c r="E20" s="12"/>
      <c r="H20" s="12"/>
      <c r="I20" s="14"/>
      <c r="J20" s="13"/>
    </row>
    <row r="21" spans="2:10">
      <c r="B21" s="3" t="s">
        <v>17</v>
      </c>
      <c r="C21" s="3"/>
      <c r="D21" s="3"/>
      <c r="E21" s="2" t="s">
        <v>18</v>
      </c>
      <c r="F21" s="2" t="s">
        <v>19</v>
      </c>
      <c r="G21" s="4"/>
      <c r="H21" s="2" t="s">
        <v>20</v>
      </c>
      <c r="I21" s="3"/>
      <c r="J21" s="4"/>
    </row>
    <row r="22" spans="2:10" ht="4.5" customHeight="1">
      <c r="E22" s="5"/>
      <c r="F22" s="5"/>
      <c r="G22" s="7"/>
      <c r="H22" s="5"/>
      <c r="J22" s="7"/>
    </row>
    <row r="23" spans="2:10" s="11" customFormat="1">
      <c r="B23" s="12" t="s">
        <v>160</v>
      </c>
      <c r="C23" s="12"/>
      <c r="D23" s="12"/>
      <c r="E23" s="16" t="str">
        <f>E13</f>
        <v>PA</v>
      </c>
      <c r="F23" s="14" t="str">
        <f>F13</f>
        <v>68515-000</v>
      </c>
      <c r="G23" s="13"/>
      <c r="H23" s="14"/>
      <c r="I23" s="12"/>
      <c r="J23" s="13"/>
    </row>
    <row r="24" spans="2:10">
      <c r="B24" s="3" t="s">
        <v>268</v>
      </c>
      <c r="C24" s="3"/>
      <c r="D24" s="2" t="s">
        <v>22</v>
      </c>
      <c r="E24" s="4"/>
      <c r="F24" s="2" t="s">
        <v>23</v>
      </c>
      <c r="G24" s="3"/>
      <c r="H24" s="3"/>
      <c r="I24" s="3"/>
      <c r="J24" s="4"/>
    </row>
    <row r="25" spans="2:10" ht="4.5" customHeight="1">
      <c r="D25" s="5"/>
      <c r="E25" s="7"/>
      <c r="F25" s="5"/>
      <c r="J25" s="7"/>
    </row>
    <row r="26" spans="2:10" s="11" customFormat="1">
      <c r="B26" s="12" t="s">
        <v>386</v>
      </c>
      <c r="C26" s="12"/>
      <c r="D26" s="19"/>
      <c r="E26" s="13"/>
      <c r="F26" s="14"/>
      <c r="G26" s="12"/>
      <c r="H26" s="12"/>
      <c r="I26" s="12"/>
      <c r="J26" s="13"/>
    </row>
    <row r="27" spans="2:10" ht="7.5" customHeight="1"/>
    <row r="28" spans="2:10">
      <c r="B28" s="3" t="s">
        <v>24</v>
      </c>
      <c r="C28" s="3"/>
      <c r="D28" s="4"/>
      <c r="E28" s="2" t="s">
        <v>25</v>
      </c>
      <c r="F28" s="4"/>
      <c r="G28" s="2" t="s">
        <v>26</v>
      </c>
      <c r="H28" s="4"/>
      <c r="I28" s="2" t="s">
        <v>27</v>
      </c>
      <c r="J28" s="4"/>
    </row>
    <row r="29" spans="2:10" ht="3.75" customHeight="1">
      <c r="D29" s="7"/>
      <c r="E29" s="5"/>
      <c r="F29" s="7"/>
      <c r="G29" s="5"/>
      <c r="H29" s="7"/>
      <c r="I29" s="5"/>
      <c r="J29" s="7"/>
    </row>
    <row r="30" spans="2:10" s="11" customFormat="1">
      <c r="B30" s="20" t="s">
        <v>28</v>
      </c>
      <c r="C30" s="21">
        <v>700</v>
      </c>
      <c r="D30" s="13"/>
      <c r="E30" s="22">
        <v>43247</v>
      </c>
      <c r="F30" s="23"/>
      <c r="G30" s="19"/>
      <c r="H30" s="13"/>
      <c r="I30" s="19">
        <v>44131</v>
      </c>
      <c r="J30" s="13"/>
    </row>
    <row r="31" spans="2:10">
      <c r="B31" s="3" t="s">
        <v>29</v>
      </c>
      <c r="C31" s="3"/>
      <c r="D31" s="3"/>
      <c r="E31" s="2" t="s">
        <v>30</v>
      </c>
      <c r="F31" s="4"/>
      <c r="G31" s="3" t="s">
        <v>31</v>
      </c>
      <c r="H31" s="4"/>
      <c r="I31" s="2" t="s">
        <v>32</v>
      </c>
      <c r="J31" s="4"/>
    </row>
    <row r="32" spans="2:10" ht="4.5" customHeight="1">
      <c r="E32" s="5"/>
      <c r="F32" s="7"/>
      <c r="H32" s="7"/>
      <c r="I32" s="5"/>
      <c r="J32" s="7"/>
    </row>
    <row r="33" spans="2:10" s="11" customFormat="1">
      <c r="B33" s="12" t="s">
        <v>228</v>
      </c>
      <c r="C33" s="12"/>
      <c r="D33" s="12"/>
      <c r="E33" s="14"/>
      <c r="F33" s="13"/>
      <c r="G33" s="12"/>
      <c r="H33" s="13"/>
      <c r="I33" s="14" t="s">
        <v>33</v>
      </c>
      <c r="J33" s="13"/>
    </row>
    <row r="34" spans="2:10" ht="8.25" customHeight="1"/>
    <row r="35" spans="2:10">
      <c r="B35" s="3"/>
      <c r="C35" s="4"/>
      <c r="D35" s="24" t="s">
        <v>34</v>
      </c>
      <c r="E35" s="2"/>
      <c r="F35" s="4"/>
      <c r="G35" s="25" t="s">
        <v>34</v>
      </c>
      <c r="H35" s="26"/>
      <c r="I35" s="26" t="s">
        <v>35</v>
      </c>
      <c r="J35" s="27"/>
    </row>
    <row r="36" spans="2:10">
      <c r="B36" s="1" t="s">
        <v>229</v>
      </c>
      <c r="C36" s="7"/>
      <c r="D36" s="28"/>
      <c r="E36" s="5" t="s">
        <v>270</v>
      </c>
      <c r="F36" s="7"/>
      <c r="G36" s="28"/>
      <c r="H36" s="2" t="s">
        <v>38</v>
      </c>
      <c r="I36" s="4"/>
      <c r="J36" s="29"/>
    </row>
    <row r="37" spans="2:10">
      <c r="B37" s="9"/>
      <c r="C37" s="10" t="s">
        <v>109</v>
      </c>
      <c r="D37" s="30"/>
      <c r="E37" s="8"/>
      <c r="F37" s="10"/>
      <c r="G37" s="30">
        <v>0</v>
      </c>
      <c r="H37" s="8"/>
      <c r="I37" s="10"/>
      <c r="J37" s="30">
        <v>0</v>
      </c>
    </row>
    <row r="38" spans="2:10">
      <c r="B38" s="3" t="s">
        <v>39</v>
      </c>
      <c r="C38" s="4"/>
      <c r="D38" s="29"/>
      <c r="E38" s="1" t="s">
        <v>233</v>
      </c>
      <c r="G38" s="29"/>
      <c r="H38" s="2" t="s">
        <v>41</v>
      </c>
      <c r="I38" s="4"/>
      <c r="J38" s="29"/>
    </row>
    <row r="39" spans="2:10">
      <c r="B39" s="12"/>
      <c r="C39" s="10" t="s">
        <v>109</v>
      </c>
      <c r="D39" s="30"/>
      <c r="G39" s="30"/>
      <c r="H39" s="8" t="s">
        <v>42</v>
      </c>
      <c r="I39" s="10"/>
      <c r="J39" s="30">
        <v>0</v>
      </c>
    </row>
    <row r="40" spans="2:10">
      <c r="B40" s="3" t="s">
        <v>43</v>
      </c>
      <c r="C40" s="4"/>
      <c r="D40" s="29"/>
      <c r="E40" s="2" t="s">
        <v>44</v>
      </c>
      <c r="F40" s="4"/>
      <c r="G40" s="29"/>
      <c r="H40" s="2" t="s">
        <v>45</v>
      </c>
      <c r="I40" s="4"/>
      <c r="J40" s="29"/>
    </row>
    <row r="41" spans="2:10">
      <c r="B41" s="12">
        <v>29</v>
      </c>
      <c r="C41" s="10" t="s">
        <v>56</v>
      </c>
      <c r="D41" s="30">
        <f>C30/12*29</f>
        <v>1691.6666666666667</v>
      </c>
      <c r="E41" s="33">
        <v>1</v>
      </c>
      <c r="F41" s="10" t="s">
        <v>47</v>
      </c>
      <c r="G41" s="30"/>
      <c r="H41" s="8"/>
      <c r="I41" s="10"/>
      <c r="J41" s="30">
        <v>0</v>
      </c>
    </row>
    <row r="42" spans="2:10">
      <c r="B42" s="3" t="s">
        <v>49</v>
      </c>
      <c r="C42" s="4"/>
      <c r="D42" s="29"/>
      <c r="E42" s="2" t="s">
        <v>234</v>
      </c>
      <c r="F42" s="4"/>
      <c r="G42" s="29"/>
      <c r="H42" s="2" t="s">
        <v>51</v>
      </c>
      <c r="I42" s="4"/>
      <c r="J42" s="29"/>
    </row>
    <row r="43" spans="2:10">
      <c r="B43" s="12"/>
      <c r="C43" s="10" t="s">
        <v>46</v>
      </c>
      <c r="D43" s="30"/>
      <c r="E43" s="8" t="s">
        <v>235</v>
      </c>
      <c r="F43" s="10"/>
      <c r="G43" s="30">
        <v>0</v>
      </c>
      <c r="H43" s="8"/>
      <c r="I43" s="10"/>
      <c r="J43" s="30">
        <v>0</v>
      </c>
    </row>
    <row r="44" spans="2:10">
      <c r="B44" s="3" t="s">
        <v>52</v>
      </c>
      <c r="C44" s="4"/>
      <c r="D44" s="29"/>
      <c r="E44" s="2" t="s">
        <v>272</v>
      </c>
      <c r="F44" s="51">
        <f>(D37+D41+D43)*8%</f>
        <v>135.33333333333334</v>
      </c>
      <c r="H44" s="2" t="s">
        <v>54</v>
      </c>
      <c r="I44" s="4"/>
      <c r="J44" s="29"/>
    </row>
    <row r="45" spans="2:10">
      <c r="B45" s="12">
        <v>2</v>
      </c>
      <c r="C45" s="10" t="s">
        <v>46</v>
      </c>
      <c r="D45" s="30">
        <f>C30/12*24</f>
        <v>1400</v>
      </c>
      <c r="E45" s="14"/>
      <c r="F45" s="10"/>
      <c r="G45" s="30"/>
      <c r="H45" s="8" t="s">
        <v>273</v>
      </c>
      <c r="I45" s="10"/>
      <c r="J45" s="30">
        <v>0</v>
      </c>
    </row>
    <row r="46" spans="2:10">
      <c r="B46" s="3" t="s">
        <v>237</v>
      </c>
      <c r="C46" s="4"/>
      <c r="D46" s="29"/>
      <c r="E46" s="2" t="s">
        <v>274</v>
      </c>
      <c r="F46" s="4"/>
      <c r="G46" s="29"/>
      <c r="H46" s="2" t="s">
        <v>59</v>
      </c>
      <c r="I46" s="4"/>
      <c r="J46" s="29"/>
    </row>
    <row r="47" spans="2:10">
      <c r="B47" s="12">
        <v>5</v>
      </c>
      <c r="C47" s="10" t="s">
        <v>56</v>
      </c>
      <c r="D47" s="30">
        <f>C30/12*5</f>
        <v>291.66666666666669</v>
      </c>
      <c r="E47" s="33">
        <v>0.5</v>
      </c>
      <c r="F47" s="10" t="s">
        <v>275</v>
      </c>
      <c r="G47" s="30"/>
      <c r="H47" s="8" t="s">
        <v>276</v>
      </c>
      <c r="I47" s="10"/>
      <c r="J47" s="30">
        <v>0</v>
      </c>
    </row>
    <row r="48" spans="2:10">
      <c r="B48" s="3" t="s">
        <v>240</v>
      </c>
      <c r="C48" s="4"/>
      <c r="D48" s="29"/>
      <c r="E48" s="2" t="s">
        <v>277</v>
      </c>
      <c r="F48" s="4"/>
      <c r="G48" s="29"/>
      <c r="H48" s="2" t="s">
        <v>63</v>
      </c>
      <c r="I48" s="4"/>
      <c r="J48" s="29"/>
    </row>
    <row r="49" spans="2:10">
      <c r="B49" s="9" t="s">
        <v>241</v>
      </c>
      <c r="C49" s="10"/>
      <c r="D49" s="30">
        <v>563.89</v>
      </c>
      <c r="E49" s="8"/>
      <c r="F49" s="10"/>
      <c r="G49" s="30">
        <v>1624</v>
      </c>
      <c r="H49" s="8"/>
      <c r="I49" s="10"/>
      <c r="J49" s="30">
        <v>0</v>
      </c>
    </row>
    <row r="50" spans="2:10">
      <c r="B50" s="3" t="s">
        <v>278</v>
      </c>
      <c r="C50" s="4"/>
      <c r="D50" s="29"/>
      <c r="E50" s="2" t="s">
        <v>243</v>
      </c>
      <c r="F50" s="4"/>
      <c r="G50" s="29"/>
      <c r="H50" s="2" t="s">
        <v>68</v>
      </c>
      <c r="I50" s="4"/>
      <c r="J50" s="29"/>
    </row>
    <row r="51" spans="2:10">
      <c r="B51" s="12"/>
      <c r="C51" s="10" t="s">
        <v>46</v>
      </c>
      <c r="D51" s="30"/>
      <c r="E51" s="8" t="s">
        <v>244</v>
      </c>
      <c r="F51" s="10"/>
      <c r="G51" s="30">
        <v>0</v>
      </c>
      <c r="H51" s="8" t="s">
        <v>69</v>
      </c>
      <c r="I51" s="10"/>
      <c r="J51" s="30">
        <f>SUM(J36:J49)</f>
        <v>0</v>
      </c>
    </row>
    <row r="52" spans="2:10">
      <c r="B52" s="3" t="s">
        <v>245</v>
      </c>
      <c r="C52" s="4"/>
      <c r="D52" s="29"/>
      <c r="E52" s="2" t="s">
        <v>71</v>
      </c>
      <c r="F52" s="4"/>
      <c r="G52" s="29"/>
      <c r="H52" s="34" t="s">
        <v>72</v>
      </c>
      <c r="I52" s="4"/>
      <c r="J52" s="29"/>
    </row>
    <row r="53" spans="2:10">
      <c r="B53" s="9" t="s">
        <v>246</v>
      </c>
      <c r="C53" s="10"/>
      <c r="D53" s="30">
        <v>0</v>
      </c>
      <c r="E53" s="8"/>
      <c r="F53" s="10"/>
      <c r="G53" s="30">
        <f>D41+D45+D47+D49+G49</f>
        <v>5571.2233333333334</v>
      </c>
      <c r="H53" s="8"/>
      <c r="I53" s="10"/>
      <c r="J53" s="30">
        <f>(G53-J51)</f>
        <v>5571.2233333333334</v>
      </c>
    </row>
    <row r="54" spans="2:10" ht="8.25" customHeight="1">
      <c r="D54" s="36">
        <f>SUM(D36:D53)</f>
        <v>3947.2233333333334</v>
      </c>
      <c r="H54" s="3"/>
      <c r="I54" s="3"/>
      <c r="J54" s="3"/>
    </row>
    <row r="55" spans="2:10">
      <c r="B55" s="3" t="s">
        <v>74</v>
      </c>
      <c r="C55" s="3"/>
      <c r="D55" s="3"/>
      <c r="E55" s="3"/>
      <c r="F55" s="4"/>
      <c r="G55" s="2" t="s">
        <v>75</v>
      </c>
      <c r="H55" s="3"/>
      <c r="I55" s="3"/>
      <c r="J55" s="4"/>
    </row>
    <row r="56" spans="2:10" ht="4.5" customHeight="1">
      <c r="F56" s="7"/>
      <c r="G56" s="5"/>
      <c r="J56" s="7"/>
    </row>
    <row r="57" spans="2:10">
      <c r="B57" s="9"/>
      <c r="C57" s="9"/>
      <c r="D57" s="9"/>
      <c r="E57" s="9"/>
      <c r="F57" s="10"/>
      <c r="G57" s="8"/>
      <c r="H57" s="9"/>
      <c r="I57" s="9"/>
      <c r="J57" s="10"/>
    </row>
    <row r="58" spans="2:10">
      <c r="B58" s="3" t="s">
        <v>76</v>
      </c>
      <c r="C58" s="3"/>
      <c r="D58" s="3"/>
      <c r="E58" s="3"/>
      <c r="F58" s="4"/>
      <c r="G58" s="2" t="s">
        <v>77</v>
      </c>
      <c r="H58" s="3"/>
      <c r="I58" s="3"/>
      <c r="J58" s="4"/>
    </row>
    <row r="59" spans="2:10" ht="6" customHeight="1">
      <c r="F59" s="7"/>
      <c r="G59" s="5"/>
      <c r="J59" s="7"/>
    </row>
    <row r="60" spans="2:10">
      <c r="B60" s="9"/>
      <c r="C60" s="9"/>
      <c r="D60" s="9"/>
      <c r="E60" s="9"/>
      <c r="F60" s="10"/>
      <c r="G60" s="8"/>
      <c r="H60" s="9"/>
      <c r="I60" s="9"/>
      <c r="J60" s="10"/>
    </row>
    <row r="61" spans="2:10">
      <c r="B61" s="3" t="s">
        <v>78</v>
      </c>
      <c r="C61" s="3"/>
      <c r="D61" s="3"/>
      <c r="E61" s="3"/>
      <c r="F61" s="4"/>
      <c r="G61" s="2" t="s">
        <v>79</v>
      </c>
      <c r="H61" s="4"/>
      <c r="I61" s="2" t="s">
        <v>80</v>
      </c>
      <c r="J61" s="4"/>
    </row>
    <row r="62" spans="2:10">
      <c r="B62" s="1" t="s">
        <v>81</v>
      </c>
      <c r="F62" s="7"/>
      <c r="G62" s="5"/>
      <c r="H62" s="7"/>
      <c r="I62" s="5"/>
      <c r="J62" s="7"/>
    </row>
    <row r="63" spans="2:10">
      <c r="B63" s="1" t="s">
        <v>82</v>
      </c>
      <c r="F63" s="7"/>
      <c r="G63" s="5"/>
      <c r="H63" s="7"/>
      <c r="I63" s="5"/>
      <c r="J63" s="7"/>
    </row>
    <row r="64" spans="2:10">
      <c r="B64" s="1" t="s">
        <v>83</v>
      </c>
      <c r="F64" s="7"/>
      <c r="G64" s="5"/>
      <c r="H64" s="7"/>
      <c r="I64" s="5"/>
      <c r="J64" s="7"/>
    </row>
    <row r="65" spans="2:10">
      <c r="B65" s="1" t="s">
        <v>84</v>
      </c>
      <c r="F65" s="7"/>
      <c r="G65" s="5"/>
      <c r="H65" s="7"/>
      <c r="I65" s="5"/>
      <c r="J65" s="7"/>
    </row>
    <row r="66" spans="2:10" ht="4.5" customHeight="1">
      <c r="F66" s="7"/>
      <c r="G66" s="5"/>
      <c r="H66" s="7"/>
      <c r="I66" s="5"/>
      <c r="J66" s="7"/>
    </row>
    <row r="67" spans="2:10">
      <c r="B67" s="1" t="s">
        <v>85</v>
      </c>
      <c r="F67" s="7"/>
      <c r="G67" s="5"/>
      <c r="H67" s="7"/>
      <c r="I67" s="5"/>
      <c r="J67" s="7"/>
    </row>
    <row r="68" spans="2:10">
      <c r="B68" s="1" t="s">
        <v>86</v>
      </c>
      <c r="F68" s="7"/>
      <c r="G68" s="5"/>
      <c r="H68" s="7"/>
      <c r="I68" s="5"/>
      <c r="J68" s="7"/>
    </row>
    <row r="69" spans="2:10" ht="3.75" customHeight="1">
      <c r="F69" s="7"/>
      <c r="G69" s="5"/>
      <c r="H69" s="7"/>
      <c r="I69" s="5"/>
      <c r="J69" s="7"/>
    </row>
    <row r="70" spans="2:10">
      <c r="B70" s="1" t="s">
        <v>85</v>
      </c>
      <c r="F70" s="7"/>
      <c r="G70" s="8"/>
      <c r="H70" s="10"/>
      <c r="I70" s="8"/>
      <c r="J70" s="10"/>
    </row>
    <row r="71" spans="2:10">
      <c r="B71" s="9" t="s">
        <v>87</v>
      </c>
      <c r="C71" s="9"/>
      <c r="D71" s="9"/>
      <c r="E71" s="9"/>
      <c r="F71" s="9"/>
      <c r="G71" s="2" t="s">
        <v>88</v>
      </c>
      <c r="H71" s="3"/>
      <c r="I71" s="3"/>
      <c r="J71" s="4"/>
    </row>
    <row r="72" spans="2:10">
      <c r="B72" s="3" t="s">
        <v>89</v>
      </c>
      <c r="C72" s="3"/>
      <c r="D72" s="3"/>
      <c r="E72" s="3"/>
      <c r="F72" s="4"/>
      <c r="G72" s="5"/>
      <c r="J72" s="7"/>
    </row>
    <row r="73" spans="2:10" ht="5.25" customHeight="1">
      <c r="F73" s="7"/>
      <c r="G73" s="5"/>
      <c r="J73" s="7"/>
    </row>
    <row r="74" spans="2:10">
      <c r="B74" s="9"/>
      <c r="C74" s="9"/>
      <c r="D74" s="9"/>
      <c r="E74" s="9"/>
      <c r="F74" s="10"/>
      <c r="G74" s="8"/>
      <c r="H74" s="9"/>
      <c r="I74" s="9"/>
      <c r="J74" s="10"/>
    </row>
  </sheetData>
  <pageMargins left="0.8" right="0.6" top="1.425" bottom="2.9861111111111099E-2" header="0.511811023622047" footer="0.511811023622047"/>
  <pageSetup paperSize="9" scale="9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EMC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Escritório Munhoz</dc:creator>
  <cp:keywords/>
  <dc:description/>
  <cp:lastModifiedBy>Lucineide Gomes | Player Contabilidade</cp:lastModifiedBy>
  <cp:revision>6</cp:revision>
  <dcterms:created xsi:type="dcterms:W3CDTF">2002-07-22T13:10:47Z</dcterms:created>
  <dcterms:modified xsi:type="dcterms:W3CDTF">2026-08-27T11:30:06Z</dcterms:modified>
  <cp:category/>
  <cp:contentStatus/>
</cp:coreProperties>
</file>